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jim\DUN N05 MATUNGGUNG\"/>
    </mc:Choice>
  </mc:AlternateContent>
  <xr:revisionPtr revIDLastSave="0" documentId="13_ncr:1_{5AC59EBC-6D76-4056-8F11-A0A5FFDA7BBB}" xr6:coauthVersionLast="47" xr6:coauthVersionMax="47" xr10:uidLastSave="{00000000-0000-0000-0000-000000000000}"/>
  <bookViews>
    <workbookView xWindow="-108" yWindow="-108" windowWidth="23256" windowHeight="12456" tabRatio="801" xr2:uid="{C9432E3B-1195-4EB9-A8B3-8D0FCD84637B}"/>
  </bookViews>
  <sheets>
    <sheet name="DASHBOARD MATUNGGU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I10" i="1"/>
  <c r="J10" i="1"/>
  <c r="K10" i="1"/>
  <c r="L10" i="1"/>
  <c r="M10" i="1"/>
  <c r="N10" i="1"/>
  <c r="G10" i="1"/>
  <c r="C10" i="1"/>
  <c r="N9" i="1" l="1"/>
  <c r="M9" i="1"/>
  <c r="L9" i="1"/>
  <c r="K9" i="1"/>
  <c r="J9" i="1"/>
  <c r="I9" i="1"/>
  <c r="H9" i="1"/>
  <c r="G9" i="1"/>
  <c r="C9" i="1"/>
  <c r="N8" i="1" l="1"/>
  <c r="M8" i="1"/>
  <c r="L8" i="1"/>
  <c r="K8" i="1"/>
  <c r="J8" i="1"/>
  <c r="I8" i="1"/>
  <c r="H8" i="1"/>
  <c r="G8" i="1"/>
  <c r="C8" i="1"/>
  <c r="N7" i="1" l="1"/>
  <c r="M7" i="1"/>
  <c r="L7" i="1"/>
  <c r="K7" i="1"/>
  <c r="J7" i="1"/>
  <c r="I7" i="1"/>
  <c r="H7" i="1"/>
  <c r="G7" i="1"/>
  <c r="C7" i="1"/>
  <c r="N6" i="1" l="1"/>
  <c r="M6" i="1"/>
  <c r="L6" i="1"/>
  <c r="K6" i="1"/>
  <c r="J6" i="1"/>
  <c r="I6" i="1"/>
  <c r="H6" i="1"/>
  <c r="G6" i="1"/>
  <c r="C6" i="1"/>
  <c r="N5" i="1" l="1"/>
  <c r="M5" i="1"/>
  <c r="L5" i="1"/>
  <c r="K5" i="1"/>
  <c r="J5" i="1"/>
  <c r="I5" i="1"/>
  <c r="H5" i="1"/>
  <c r="G5" i="1"/>
  <c r="C5" i="1"/>
  <c r="D10" i="1" l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D6" i="1"/>
  <c r="E6" i="1" s="1"/>
  <c r="F6" i="1" s="1"/>
  <c r="D5" i="1"/>
  <c r="E5" i="1" s="1"/>
  <c r="F5" i="1" s="1"/>
  <c r="M11" i="1"/>
  <c r="Q11" i="1"/>
  <c r="P11" i="1"/>
  <c r="O11" i="1"/>
  <c r="L11" i="1"/>
  <c r="K11" i="1"/>
  <c r="J11" i="1"/>
  <c r="I11" i="1"/>
  <c r="H11" i="1"/>
  <c r="G11" i="1"/>
  <c r="C11" i="1" l="1"/>
  <c r="D11" i="1" l="1"/>
  <c r="E11" i="1" l="1"/>
  <c r="F11" i="1"/>
</calcChain>
</file>

<file path=xl/sharedStrings.xml><?xml version="1.0" encoding="utf-8"?>
<sst xmlns="http://schemas.openxmlformats.org/spreadsheetml/2006/main" count="27" uniqueCount="27">
  <si>
    <t>DUN</t>
  </si>
  <si>
    <t>BILANGAN PENGUNDI BERDAFTAR</t>
  </si>
  <si>
    <t>Atas Pagar</t>
  </si>
  <si>
    <t>HITAM</t>
  </si>
  <si>
    <t>Meninggal Dunia</t>
  </si>
  <si>
    <t>PECAHAN PENGUNDI MENGIKUT UMUR</t>
  </si>
  <si>
    <t>18 - 30</t>
  </si>
  <si>
    <t>31 - 45</t>
  </si>
  <si>
    <t>46 - KEATAS</t>
  </si>
  <si>
    <t>JUMLAH</t>
  </si>
  <si>
    <t>TIDAK KENAL</t>
  </si>
  <si>
    <t>DASHBOARD DUN N05 MATUNGGUNG</t>
  </si>
  <si>
    <t>MATUNGGUNG</t>
  </si>
  <si>
    <t>DAERAH MENGUNDI</t>
  </si>
  <si>
    <t>SASARAN KETUA KELUARGA (K10)</t>
  </si>
  <si>
    <t>Pengundi Luar SABAH</t>
  </si>
  <si>
    <t>Pengundi Luar PARLIMEN</t>
  </si>
  <si>
    <r>
      <t>Anggaran Peratusan Turun Mengundi</t>
    </r>
    <r>
      <rPr>
        <b/>
        <sz val="9"/>
        <color theme="1"/>
        <rFont val="Calibri"/>
        <family val="2"/>
        <scheme val="minor"/>
      </rPr>
      <t xml:space="preserve"> (75%)</t>
    </r>
  </si>
  <si>
    <r>
      <t>Sasaran UNDI 60</t>
    </r>
    <r>
      <rPr>
        <b/>
        <sz val="9"/>
        <color theme="1"/>
        <rFont val="Calibri"/>
        <family val="2"/>
        <scheme val="minor"/>
      </rPr>
      <t>%</t>
    </r>
  </si>
  <si>
    <r>
      <t xml:space="preserve">JUMLAH K10 </t>
    </r>
    <r>
      <rPr>
        <b/>
        <sz val="9"/>
        <color theme="1"/>
        <rFont val="Calibri"/>
        <family val="2"/>
        <scheme val="minor"/>
      </rPr>
      <t>TERKINI</t>
    </r>
  </si>
  <si>
    <r>
      <t xml:space="preserve">PUTIH </t>
    </r>
    <r>
      <rPr>
        <b/>
        <sz val="9"/>
        <color theme="1"/>
        <rFont val="Calibri"/>
        <family val="2"/>
        <scheme val="minor"/>
      </rPr>
      <t>TERKINI</t>
    </r>
  </si>
  <si>
    <t>BINGOLON</t>
  </si>
  <si>
    <t>DUALOG</t>
  </si>
  <si>
    <t>INDARASON</t>
  </si>
  <si>
    <t>KANDAWAYON</t>
  </si>
  <si>
    <t>LAJONG</t>
  </si>
  <si>
    <t>LODUNG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</si>
</sst>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1" fillId="1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11" borderId="1" xfId="0" applyNumberFormat="1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BINGOLON\PDM%20BINGOLON.xlsx" TargetMode="External"/><Relationship Id="rId1" Type="http://schemas.openxmlformats.org/officeDocument/2006/relationships/externalLinkPath" Target="PDM%20BINGOLON/PDM%20BINGOL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DUALOG\PDM%20DUALOG.xlsx" TargetMode="External"/><Relationship Id="rId1" Type="http://schemas.openxmlformats.org/officeDocument/2006/relationships/externalLinkPath" Target="PDM%20DUALOG/PDM%20DUALO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INDARASON\PDM%20INDARASON.xlsx" TargetMode="External"/><Relationship Id="rId1" Type="http://schemas.openxmlformats.org/officeDocument/2006/relationships/externalLinkPath" Target="PDM%20INDARASON/PDM%20INDARAS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KANDAWAYON\PDM%20KANDAWAYON.xlsx" TargetMode="External"/><Relationship Id="rId1" Type="http://schemas.openxmlformats.org/officeDocument/2006/relationships/externalLinkPath" Target="PDM%20KANDAWAYON/PDM%20KANDAWAYO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LAJONG\PDM%20LAJONG.xlsx" TargetMode="External"/><Relationship Id="rId1" Type="http://schemas.openxmlformats.org/officeDocument/2006/relationships/externalLinkPath" Target="PDM%20LAJONG/PDM%20LAJONG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Kanil%20Transfer\KANIL%20DATA\P168%20KOTA%20MARUDU\DUN%20N05%20MATUNGGUNG\PDM%20LODUNG\PDM%20LODUNG.xlsx" TargetMode="External"/><Relationship Id="rId1" Type="http://schemas.openxmlformats.org/officeDocument/2006/relationships/externalLinkPath" Target="PDM%20LODUNG/PDM%20LOD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ENGUNDI BINGOLON"/>
      <sheetName val="Isu-Isu Setempat"/>
      <sheetName val="Profile Kampung"/>
      <sheetName val="Permohonan"/>
      <sheetName val="Perancangan Program"/>
    </sheetNames>
    <sheetDataSet>
      <sheetData sheetId="0"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7">
          <cell r="C7">
            <v>624</v>
          </cell>
          <cell r="G7">
            <v>0</v>
          </cell>
          <cell r="H7">
            <v>0</v>
          </cell>
          <cell r="I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DM DUALOG"/>
      <sheetName val="Isu-Isu Setempat"/>
      <sheetName val="Profile Kampung"/>
      <sheetName val="Permohonan"/>
      <sheetName val="Perancangan Program"/>
    </sheetNames>
    <sheetDataSet>
      <sheetData sheetId="0">
        <row r="9">
          <cell r="C9">
            <v>488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DM INDARASON"/>
      <sheetName val="Isu-Isu Setempat"/>
      <sheetName val="Profile Kampung"/>
      <sheetName val="Permohonan"/>
      <sheetName val="Perancangan Program"/>
    </sheetNames>
    <sheetDataSet>
      <sheetData sheetId="0">
        <row r="8">
          <cell r="C8">
            <v>1244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DM Kandawayon"/>
      <sheetName val="Isu-Isu Setempat"/>
      <sheetName val="Profile Kampung"/>
      <sheetName val="Permohonan"/>
      <sheetName val="Perancangan Program"/>
    </sheetNames>
    <sheetDataSet>
      <sheetData sheetId="0">
        <row r="10">
          <cell r="C10">
            <v>1081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/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DM LAJONG"/>
      <sheetName val="Isu-Isu Setempat"/>
      <sheetName val="Profile Kampung"/>
      <sheetName val="Permohonan"/>
      <sheetName val="Perancangan Program"/>
    </sheetNames>
    <sheetDataSet>
      <sheetData sheetId="0">
        <row r="7">
          <cell r="C7">
            <v>970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/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DM LODUNG"/>
      <sheetName val="Isu-Isu Setempat"/>
      <sheetName val="Profile Kampung"/>
      <sheetName val="Permohonan"/>
      <sheetName val="Perancangan Program"/>
    </sheetNames>
    <sheetDataSet>
      <sheetData sheetId="0">
        <row r="13">
          <cell r="C13">
            <v>1432</v>
          </cell>
          <cell r="G13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8E73-D6E2-49BE-AFFE-B9AA87C19251}">
  <dimension ref="A1:Q11"/>
  <sheetViews>
    <sheetView tabSelected="1" zoomScaleNormal="100" workbookViewId="0">
      <selection activeCell="P22" sqref="P22"/>
    </sheetView>
  </sheetViews>
  <sheetFormatPr defaultRowHeight="14.4" x14ac:dyDescent="0.3"/>
  <cols>
    <col min="1" max="1" width="13.109375" customWidth="1"/>
    <col min="2" max="2" width="14.44140625" customWidth="1"/>
    <col min="3" max="3" width="14" customWidth="1"/>
    <col min="4" max="4" width="15.33203125" customWidth="1"/>
    <col min="6" max="6" width="13.5546875" customWidth="1"/>
    <col min="7" max="7" width="9.5546875" customWidth="1"/>
    <col min="8" max="8" width="6.88671875" bestFit="1" customWidth="1"/>
    <col min="9" max="9" width="5.5546875" bestFit="1" customWidth="1"/>
    <col min="10" max="10" width="6.109375" bestFit="1" customWidth="1"/>
    <col min="11" max="11" width="5.6640625" bestFit="1" customWidth="1"/>
    <col min="17" max="17" width="12.6640625" customWidth="1"/>
  </cols>
  <sheetData>
    <row r="1" spans="1:17" ht="15.6" x14ac:dyDescent="0.3">
      <c r="A1" s="7" t="s">
        <v>11</v>
      </c>
      <c r="B1" s="8"/>
      <c r="C1" s="8"/>
      <c r="D1" s="8"/>
      <c r="H1" s="1"/>
      <c r="M1" s="1"/>
      <c r="N1" s="1"/>
      <c r="O1" s="1"/>
      <c r="P1" s="1"/>
      <c r="Q1" s="1"/>
    </row>
    <row r="2" spans="1:17" ht="9.75" customHeight="1" x14ac:dyDescent="0.3">
      <c r="H2" s="1"/>
      <c r="M2" s="1"/>
      <c r="N2" s="1"/>
      <c r="O2" s="1"/>
      <c r="P2" s="1"/>
      <c r="Q2" s="1"/>
    </row>
    <row r="3" spans="1:17" ht="18.75" customHeight="1" x14ac:dyDescent="0.3">
      <c r="A3" s="35" t="s">
        <v>0</v>
      </c>
      <c r="B3" s="37" t="s">
        <v>13</v>
      </c>
      <c r="C3" s="37" t="s">
        <v>1</v>
      </c>
      <c r="D3" s="39" t="s">
        <v>17</v>
      </c>
      <c r="E3" s="39" t="s">
        <v>18</v>
      </c>
      <c r="F3" s="41" t="s">
        <v>14</v>
      </c>
      <c r="G3" s="27" t="s">
        <v>19</v>
      </c>
      <c r="H3" s="29" t="s">
        <v>20</v>
      </c>
      <c r="I3" s="31" t="s">
        <v>2</v>
      </c>
      <c r="J3" s="33" t="s">
        <v>3</v>
      </c>
      <c r="K3" s="20" t="s">
        <v>10</v>
      </c>
      <c r="L3" s="20" t="s">
        <v>4</v>
      </c>
      <c r="M3" s="18" t="s">
        <v>16</v>
      </c>
      <c r="N3" s="18" t="s">
        <v>15</v>
      </c>
      <c r="O3" s="22" t="s">
        <v>5</v>
      </c>
      <c r="P3" s="23"/>
      <c r="Q3" s="24"/>
    </row>
    <row r="4" spans="1:17" ht="24" customHeight="1" x14ac:dyDescent="0.3">
      <c r="A4" s="36"/>
      <c r="B4" s="38"/>
      <c r="C4" s="38"/>
      <c r="D4" s="40"/>
      <c r="E4" s="40"/>
      <c r="F4" s="42"/>
      <c r="G4" s="28"/>
      <c r="H4" s="30"/>
      <c r="I4" s="32"/>
      <c r="J4" s="34"/>
      <c r="K4" s="21"/>
      <c r="L4" s="21"/>
      <c r="M4" s="19"/>
      <c r="N4" s="19"/>
      <c r="O4" s="9" t="s">
        <v>6</v>
      </c>
      <c r="P4" s="9" t="s">
        <v>7</v>
      </c>
      <c r="Q4" s="9" t="s">
        <v>8</v>
      </c>
    </row>
    <row r="5" spans="1:17" ht="12" customHeight="1" x14ac:dyDescent="0.3">
      <c r="A5" s="25" t="s">
        <v>12</v>
      </c>
      <c r="B5" s="10" t="s">
        <v>21</v>
      </c>
      <c r="C5" s="11">
        <f>SUM([1]Dashboard!$C$7)</f>
        <v>624</v>
      </c>
      <c r="D5" s="12">
        <f>C5*75/100</f>
        <v>468</v>
      </c>
      <c r="E5" s="12">
        <f>SUM(D5*55/100)</f>
        <v>257.39999999999998</v>
      </c>
      <c r="F5" s="13">
        <f>SUM(E5/10)</f>
        <v>25.74</v>
      </c>
      <c r="G5" s="14">
        <f>SUM([1]Dashboard!$G$7)</f>
        <v>0</v>
      </c>
      <c r="H5" s="12">
        <f>SUM([1]Dashboard!$H$7)</f>
        <v>0</v>
      </c>
      <c r="I5" s="16">
        <f>SUM([1]Dashboard!$I$7)</f>
        <v>0</v>
      </c>
      <c r="J5" s="12">
        <f>SUM([1]Dashboard!$J$5)</f>
        <v>0</v>
      </c>
      <c r="K5" s="12">
        <f>SUM([1]Dashboard!$K$5)</f>
        <v>0</v>
      </c>
      <c r="L5" s="12">
        <f>SUM([1]Dashboard!$L$5)</f>
        <v>0</v>
      </c>
      <c r="M5" s="12">
        <f>SUM([1]Dashboard!$M$5)</f>
        <v>0</v>
      </c>
      <c r="N5" s="12">
        <f>SUM([1]Dashboard!$N$5)</f>
        <v>0</v>
      </c>
      <c r="O5" s="15"/>
      <c r="P5" s="15"/>
      <c r="Q5" s="11"/>
    </row>
    <row r="6" spans="1:17" ht="12" customHeight="1" x14ac:dyDescent="0.3">
      <c r="A6" s="26"/>
      <c r="B6" s="10" t="s">
        <v>22</v>
      </c>
      <c r="C6" s="11">
        <f>SUM([2]Dashboard!$C$9)</f>
        <v>488</v>
      </c>
      <c r="D6" s="12">
        <f t="shared" ref="D6:D10" si="0">C6*75/100</f>
        <v>366</v>
      </c>
      <c r="E6" s="12">
        <f t="shared" ref="E6:E10" si="1">SUM(D6*55/100)</f>
        <v>201.3</v>
      </c>
      <c r="F6" s="13">
        <f t="shared" ref="F6:F10" si="2">SUM(E6/10)</f>
        <v>20.130000000000003</v>
      </c>
      <c r="G6" s="14">
        <f>SUM([2]Dashboard!$G$9)</f>
        <v>0</v>
      </c>
      <c r="H6" s="12">
        <f>SUM([2]Dashboard!$H$9)</f>
        <v>0</v>
      </c>
      <c r="I6" s="16">
        <f>SUM([2]Dashboard!$I$9)</f>
        <v>0</v>
      </c>
      <c r="J6" s="12">
        <f>SUM([2]Dashboard!$J$9)</f>
        <v>0</v>
      </c>
      <c r="K6" s="12">
        <f>SUM([2]Dashboard!$K$9)</f>
        <v>0</v>
      </c>
      <c r="L6" s="12">
        <f>SUM([2]Dashboard!$L$9)</f>
        <v>0</v>
      </c>
      <c r="M6" s="12">
        <f>SUM([2]Dashboard!$M$9)</f>
        <v>0</v>
      </c>
      <c r="N6" s="12">
        <f>SUM([2]Dashboard!$N$9)</f>
        <v>0</v>
      </c>
      <c r="O6" s="15"/>
      <c r="P6" s="15"/>
      <c r="Q6" s="11"/>
    </row>
    <row r="7" spans="1:17" ht="12" customHeight="1" x14ac:dyDescent="0.3">
      <c r="A7" s="26"/>
      <c r="B7" s="10" t="s">
        <v>23</v>
      </c>
      <c r="C7" s="11">
        <f>SUM([3]Dashboard!$C$8)</f>
        <v>1244</v>
      </c>
      <c r="D7" s="12">
        <f t="shared" si="0"/>
        <v>933</v>
      </c>
      <c r="E7" s="12">
        <f t="shared" si="1"/>
        <v>513.15</v>
      </c>
      <c r="F7" s="13">
        <f t="shared" si="2"/>
        <v>51.314999999999998</v>
      </c>
      <c r="G7" s="14">
        <f>SUM([3]Dashboard!$G$8)</f>
        <v>0</v>
      </c>
      <c r="H7" s="12">
        <f>SUM([3]Dashboard!$H$8)</f>
        <v>0</v>
      </c>
      <c r="I7" s="16">
        <f>SUM([3]Dashboard!$I$8)</f>
        <v>0</v>
      </c>
      <c r="J7" s="12">
        <f>SUM([3]Dashboard!$J$8)</f>
        <v>0</v>
      </c>
      <c r="K7" s="12">
        <f>SUM([3]Dashboard!$K$8)</f>
        <v>0</v>
      </c>
      <c r="L7" s="12">
        <f>SUM([3]Dashboard!$L$8)</f>
        <v>0</v>
      </c>
      <c r="M7" s="12">
        <f>SUM([3]Dashboard!$M$8)</f>
        <v>0</v>
      </c>
      <c r="N7" s="12">
        <f>SUM([3]Dashboard!$N$8)</f>
        <v>0</v>
      </c>
      <c r="O7" s="15"/>
      <c r="P7" s="15"/>
      <c r="Q7" s="11"/>
    </row>
    <row r="8" spans="1:17" ht="12" customHeight="1" x14ac:dyDescent="0.3">
      <c r="A8" s="26"/>
      <c r="B8" s="10" t="s">
        <v>24</v>
      </c>
      <c r="C8" s="11">
        <f>SUM([4]Dashboard!$C$10)</f>
        <v>1081</v>
      </c>
      <c r="D8" s="12">
        <f t="shared" si="0"/>
        <v>810.75</v>
      </c>
      <c r="E8" s="12">
        <f t="shared" si="1"/>
        <v>445.91250000000002</v>
      </c>
      <c r="F8" s="13">
        <f t="shared" si="2"/>
        <v>44.591250000000002</v>
      </c>
      <c r="G8" s="14">
        <f>SUM([4]Dashboard!$G$10)</f>
        <v>0</v>
      </c>
      <c r="H8" s="12">
        <f>SUM([4]Dashboard!$H$10)</f>
        <v>0</v>
      </c>
      <c r="I8" s="16">
        <f>SUM([4]Dashboard!$I$10)</f>
        <v>0</v>
      </c>
      <c r="J8" s="12">
        <f>SUM([4]Dashboard!$J$10)</f>
        <v>0</v>
      </c>
      <c r="K8" s="12">
        <f>SUM([4]Dashboard!$K$10)</f>
        <v>0</v>
      </c>
      <c r="L8" s="12">
        <f>SUM([4]Dashboard!$L$10)</f>
        <v>0</v>
      </c>
      <c r="M8" s="12">
        <f>SUM([4]Dashboard!$M$10)</f>
        <v>0</v>
      </c>
      <c r="N8" s="12">
        <f>SUM([4]Dashboard!$N$10)</f>
        <v>0</v>
      </c>
      <c r="O8" s="15"/>
      <c r="P8" s="15"/>
      <c r="Q8" s="11"/>
    </row>
    <row r="9" spans="1:17" ht="12" customHeight="1" x14ac:dyDescent="0.3">
      <c r="A9" s="26"/>
      <c r="B9" s="10" t="s">
        <v>25</v>
      </c>
      <c r="C9" s="11">
        <f>SUM([5]Dashboard!$C$7)</f>
        <v>970</v>
      </c>
      <c r="D9" s="12">
        <f t="shared" si="0"/>
        <v>727.5</v>
      </c>
      <c r="E9" s="12">
        <f t="shared" si="1"/>
        <v>400.125</v>
      </c>
      <c r="F9" s="13">
        <f t="shared" si="2"/>
        <v>40.012500000000003</v>
      </c>
      <c r="G9" s="14">
        <f>SUM([5]Dashboard!$G$7)</f>
        <v>0</v>
      </c>
      <c r="H9" s="12">
        <f>SUM([5]Dashboard!$H$7)</f>
        <v>0</v>
      </c>
      <c r="I9" s="16">
        <f>SUM([5]Dashboard!$I$7)</f>
        <v>0</v>
      </c>
      <c r="J9" s="12">
        <f>SUM([5]Dashboard!$J$7)</f>
        <v>0</v>
      </c>
      <c r="K9" s="12">
        <f>SUM([5]Dashboard!$K$7)</f>
        <v>0</v>
      </c>
      <c r="L9" s="12">
        <f>SUM([5]Dashboard!$L$7)</f>
        <v>0</v>
      </c>
      <c r="M9" s="12">
        <f>SUM([5]Dashboard!$M$7)</f>
        <v>0</v>
      </c>
      <c r="N9" s="12">
        <f>SUM([5]Dashboard!$N$7)</f>
        <v>0</v>
      </c>
      <c r="O9" s="15"/>
      <c r="P9" s="15"/>
      <c r="Q9" s="11"/>
    </row>
    <row r="10" spans="1:17" ht="12" customHeight="1" x14ac:dyDescent="0.3">
      <c r="A10" s="26"/>
      <c r="B10" s="10" t="s">
        <v>26</v>
      </c>
      <c r="C10" s="11">
        <f>SUM([6]Dashboard!$C$13)</f>
        <v>1432</v>
      </c>
      <c r="D10" s="12">
        <f t="shared" si="0"/>
        <v>1074</v>
      </c>
      <c r="E10" s="12">
        <f t="shared" si="1"/>
        <v>590.70000000000005</v>
      </c>
      <c r="F10" s="13">
        <f t="shared" si="2"/>
        <v>59.070000000000007</v>
      </c>
      <c r="G10" s="14">
        <f>SUM([6]Dashboard!$G$13)</f>
        <v>0</v>
      </c>
      <c r="H10" s="12">
        <f>SUM([6]Dashboard!$G$13)</f>
        <v>0</v>
      </c>
      <c r="I10" s="16">
        <f>SUM([6]Dashboard!$G$13)</f>
        <v>0</v>
      </c>
      <c r="J10" s="12">
        <f>SUM([6]Dashboard!$G$13)</f>
        <v>0</v>
      </c>
      <c r="K10" s="12">
        <f>SUM([6]Dashboard!$G$13)</f>
        <v>0</v>
      </c>
      <c r="L10" s="12">
        <f>SUM([6]Dashboard!$G$13)</f>
        <v>0</v>
      </c>
      <c r="M10" s="12">
        <f>SUM([6]Dashboard!$G$13)</f>
        <v>0</v>
      </c>
      <c r="N10" s="12">
        <f>SUM([6]Dashboard!$G$13)</f>
        <v>0</v>
      </c>
      <c r="O10" s="15"/>
      <c r="P10" s="15"/>
      <c r="Q10" s="11"/>
    </row>
    <row r="11" spans="1:17" ht="30" customHeight="1" x14ac:dyDescent="0.3">
      <c r="A11" s="4" t="s">
        <v>9</v>
      </c>
      <c r="B11" s="4"/>
      <c r="C11" s="2">
        <f>SUM(C5:C10)</f>
        <v>5839</v>
      </c>
      <c r="D11" s="3">
        <f>SUM(D5:D10)</f>
        <v>4379.25</v>
      </c>
      <c r="E11" s="3">
        <f>SUM(E5:E10)</f>
        <v>2408.5874999999996</v>
      </c>
      <c r="F11" s="5">
        <f>SUM(F5:F10)</f>
        <v>240.85874999999999</v>
      </c>
      <c r="G11" s="6">
        <f>SUM(G5:G10)</f>
        <v>0</v>
      </c>
      <c r="H11" s="3">
        <f>SUM(H5:H10)</f>
        <v>0</v>
      </c>
      <c r="I11" s="17">
        <f>SUM(I5:I10)</f>
        <v>0</v>
      </c>
      <c r="J11" s="3">
        <f>SUM(J5:J10)</f>
        <v>0</v>
      </c>
      <c r="K11" s="3">
        <f>SUM(K5:K10)</f>
        <v>0</v>
      </c>
      <c r="L11" s="3">
        <f>SUM(L5:L10)</f>
        <v>0</v>
      </c>
      <c r="M11" s="3">
        <f>SUM(M5:M10)</f>
        <v>0</v>
      </c>
      <c r="N11" s="3"/>
      <c r="O11" s="3">
        <f>SUM(O5:O10)</f>
        <v>0</v>
      </c>
      <c r="P11" s="3">
        <f>SUM(P5:P10)</f>
        <v>0</v>
      </c>
      <c r="Q11" s="3">
        <f>SUM(Q5:Q10)</f>
        <v>0</v>
      </c>
    </row>
  </sheetData>
  <mergeCells count="16">
    <mergeCell ref="N3:N4"/>
    <mergeCell ref="L3:L4"/>
    <mergeCell ref="M3:M4"/>
    <mergeCell ref="O3:Q3"/>
    <mergeCell ref="A5:A10"/>
    <mergeCell ref="K3:K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F3:F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MATUNGGUNG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kanildayou@outlook.com</dc:creator>
  <cp:lastModifiedBy>kanildayou088@outlook.com</cp:lastModifiedBy>
  <cp:lastPrinted>2026-01-08T02:04:51Z</cp:lastPrinted>
  <dcterms:created xsi:type="dcterms:W3CDTF">2025-07-25T16:01:18Z</dcterms:created>
  <dcterms:modified xsi:type="dcterms:W3CDTF">2026-07-01T03:07:24Z</dcterms:modified>
</cp:coreProperties>
</file>