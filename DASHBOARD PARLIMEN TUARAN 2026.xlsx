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DATA BARU UNTUK APPS\"/>
    </mc:Choice>
  </mc:AlternateContent>
  <xr:revisionPtr revIDLastSave="0" documentId="13_ncr:1_{0105B093-83A3-4CE9-A1C4-9F085C034448}" xr6:coauthVersionLast="47" xr6:coauthVersionMax="47" xr10:uidLastSave="{00000000-0000-0000-0000-000000000000}"/>
  <bookViews>
    <workbookView xWindow="-108" yWindow="-108" windowWidth="23256" windowHeight="12456" tabRatio="891" xr2:uid="{00000000-000D-0000-FFFF-FFFF00000000}"/>
  </bookViews>
  <sheets>
    <sheet name="DASHBOARD TUARAN" sheetId="10" r:id="rId1"/>
    <sheet name="PRU" sheetId="13" r:id="rId2"/>
    <sheet name="PRN" sheetId="14" r:id="rId3"/>
    <sheet name="KPI JINIK" sheetId="6" r:id="rId4"/>
    <sheet name="KPI AMANDUS" sheetId="7" r:id="rId5"/>
    <sheet name="KPI LOMITI" sheetId="8" r:id="rId6"/>
    <sheet name="KPI JAINYSIUS" sheetId="9" r:id="rId7"/>
    <sheet name="KPI RAYNER" sheetId="2" r:id="rId8"/>
    <sheet name="TIKTORKER" sheetId="11" r:id="rId9"/>
    <sheet name="JADUAL" sheetId="12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Print_Area" localSheetId="0">'DASHBOARD TUARAN'!$A$1:$S$10</definedName>
    <definedName name="_xlnm.Print_Area" localSheetId="9">JADUAL!$A$1:$AD$20</definedName>
    <definedName name="_xlnm.Print_Area" localSheetId="5">'KPI LOMITI'!$A$1:$L$10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0" l="1"/>
  <c r="O7" i="10"/>
  <c r="N7" i="10"/>
  <c r="M7" i="10"/>
  <c r="L7" i="10"/>
  <c r="K7" i="10"/>
  <c r="J7" i="10"/>
  <c r="C7" i="10"/>
  <c r="G7" i="10"/>
  <c r="P8" i="10" l="1"/>
  <c r="O8" i="10"/>
  <c r="N8" i="10"/>
  <c r="M8" i="10"/>
  <c r="L8" i="10"/>
  <c r="K8" i="10"/>
  <c r="J8" i="10"/>
  <c r="C8" i="10"/>
  <c r="P6" i="10" l="1"/>
  <c r="O6" i="10"/>
  <c r="N6" i="10"/>
  <c r="M6" i="10"/>
  <c r="L6" i="10"/>
  <c r="K6" i="10"/>
  <c r="J6" i="10"/>
  <c r="C6" i="10"/>
  <c r="P5" i="10" l="1"/>
  <c r="M5" i="10"/>
  <c r="L5" i="10"/>
  <c r="N5" i="10"/>
  <c r="O5" i="10"/>
  <c r="K5" i="10"/>
  <c r="J5" i="10"/>
  <c r="C5" i="10"/>
  <c r="G6" i="10"/>
  <c r="F8" i="10" l="1"/>
  <c r="I19" i="14"/>
  <c r="H19" i="14"/>
  <c r="H16" i="14"/>
  <c r="H15" i="14"/>
  <c r="H14" i="14"/>
  <c r="H13" i="14"/>
  <c r="H12" i="14"/>
  <c r="H11" i="14"/>
  <c r="H10" i="14"/>
  <c r="H9" i="14"/>
  <c r="H6" i="14"/>
  <c r="H5" i="14"/>
  <c r="H4" i="14"/>
  <c r="H3" i="14"/>
  <c r="C3" i="14"/>
  <c r="C16" i="14" s="1"/>
  <c r="D16" i="14"/>
  <c r="C13" i="14"/>
  <c r="C10" i="14"/>
  <c r="C9" i="14"/>
  <c r="C8" i="14"/>
  <c r="C7" i="14"/>
  <c r="C6" i="14"/>
  <c r="C5" i="14"/>
  <c r="C4" i="14"/>
  <c r="G16" i="14"/>
  <c r="G15" i="14"/>
  <c r="G14" i="14"/>
  <c r="G13" i="14"/>
  <c r="B13" i="14"/>
  <c r="G12" i="14"/>
  <c r="B12" i="14"/>
  <c r="G11" i="14"/>
  <c r="B11" i="14"/>
  <c r="G10" i="14"/>
  <c r="B10" i="14"/>
  <c r="G9" i="14"/>
  <c r="B9" i="14"/>
  <c r="G8" i="14"/>
  <c r="B8" i="14"/>
  <c r="G7" i="14"/>
  <c r="B7" i="14"/>
  <c r="G6" i="14"/>
  <c r="B6" i="14"/>
  <c r="G5" i="14"/>
  <c r="B5" i="14"/>
  <c r="G4" i="14"/>
  <c r="B4" i="14"/>
  <c r="G3" i="14"/>
  <c r="B3" i="14"/>
  <c r="B16" i="14" s="1"/>
  <c r="E8" i="10"/>
  <c r="E6" i="10"/>
  <c r="B18" i="13"/>
  <c r="B17" i="13"/>
  <c r="I16" i="13"/>
  <c r="B16" i="13"/>
  <c r="I15" i="13"/>
  <c r="B15" i="13"/>
  <c r="I14" i="13"/>
  <c r="B14" i="13"/>
  <c r="I13" i="13"/>
  <c r="F13" i="13"/>
  <c r="B13" i="13"/>
  <c r="I12" i="13"/>
  <c r="F12" i="13"/>
  <c r="B12" i="13"/>
  <c r="B19" i="13" s="1"/>
  <c r="I11" i="13"/>
  <c r="F11" i="13"/>
  <c r="I10" i="13"/>
  <c r="F10" i="13"/>
  <c r="I9" i="13"/>
  <c r="F9" i="13"/>
  <c r="B9" i="13"/>
  <c r="I8" i="13"/>
  <c r="F8" i="13"/>
  <c r="B8" i="13"/>
  <c r="I7" i="13"/>
  <c r="F7" i="13"/>
  <c r="B7" i="13"/>
  <c r="I6" i="13"/>
  <c r="F6" i="13"/>
  <c r="B6" i="13"/>
  <c r="I5" i="13"/>
  <c r="F5" i="13"/>
  <c r="B5" i="13"/>
  <c r="I4" i="13"/>
  <c r="F4" i="13"/>
  <c r="F14" i="13" s="1"/>
  <c r="B4" i="13"/>
  <c r="B10" i="13" s="1"/>
  <c r="I3" i="13"/>
  <c r="I18" i="13" s="1"/>
  <c r="F3" i="13"/>
  <c r="B3" i="13"/>
  <c r="G5" i="10"/>
  <c r="G19" i="14" l="1"/>
  <c r="I21" i="13"/>
  <c r="G20" i="12" l="1"/>
  <c r="F20" i="12"/>
  <c r="E20" i="12"/>
  <c r="D20" i="12"/>
  <c r="G19" i="12"/>
  <c r="F19" i="12"/>
  <c r="E19" i="12"/>
  <c r="G18" i="12"/>
  <c r="F18" i="12"/>
  <c r="E18" i="12"/>
  <c r="G17" i="12"/>
  <c r="F17" i="12"/>
  <c r="E17" i="12"/>
  <c r="G16" i="12"/>
  <c r="F16" i="12"/>
  <c r="E16" i="12"/>
  <c r="G15" i="12"/>
  <c r="F15" i="12"/>
  <c r="E15" i="12"/>
  <c r="G14" i="12"/>
  <c r="F14" i="12"/>
  <c r="E14" i="12"/>
  <c r="G13" i="12"/>
  <c r="F13" i="12"/>
  <c r="E13" i="12"/>
  <c r="G12" i="12"/>
  <c r="F12" i="12"/>
  <c r="E12" i="12"/>
  <c r="G11" i="12"/>
  <c r="F11" i="12"/>
  <c r="E11" i="12"/>
  <c r="G10" i="12"/>
  <c r="F10" i="12"/>
  <c r="E10" i="12"/>
  <c r="G9" i="12"/>
  <c r="F9" i="12"/>
  <c r="E9" i="12"/>
  <c r="G8" i="12"/>
  <c r="F8" i="12"/>
  <c r="E8" i="12"/>
  <c r="G7" i="12"/>
  <c r="F7" i="12"/>
  <c r="E7" i="12"/>
  <c r="G6" i="12"/>
  <c r="F6" i="12"/>
  <c r="E6" i="12"/>
  <c r="G5" i="12"/>
  <c r="F5" i="12"/>
  <c r="E5" i="12"/>
  <c r="J10" i="2"/>
  <c r="I10" i="2"/>
  <c r="H10" i="2"/>
  <c r="G10" i="2"/>
  <c r="F10" i="2"/>
  <c r="E10" i="2"/>
  <c r="D10" i="2"/>
  <c r="L9" i="2"/>
  <c r="K9" i="2"/>
  <c r="G9" i="2"/>
  <c r="F9" i="2"/>
  <c r="E9" i="2"/>
  <c r="L8" i="2"/>
  <c r="K8" i="2"/>
  <c r="G8" i="2"/>
  <c r="F8" i="2"/>
  <c r="E8" i="2"/>
  <c r="L7" i="2"/>
  <c r="K7" i="2"/>
  <c r="G7" i="2"/>
  <c r="F7" i="2"/>
  <c r="E7" i="2"/>
  <c r="J10" i="9"/>
  <c r="I10" i="9"/>
  <c r="H10" i="9"/>
  <c r="G10" i="9"/>
  <c r="F10" i="9"/>
  <c r="E10" i="9"/>
  <c r="D10" i="9"/>
  <c r="L9" i="9"/>
  <c r="K9" i="9"/>
  <c r="G9" i="9"/>
  <c r="F9" i="9"/>
  <c r="E9" i="9"/>
  <c r="L8" i="9"/>
  <c r="K8" i="9"/>
  <c r="G8" i="9"/>
  <c r="F8" i="9"/>
  <c r="E8" i="9"/>
  <c r="L7" i="9"/>
  <c r="K7" i="9"/>
  <c r="G7" i="9"/>
  <c r="F7" i="9"/>
  <c r="E7" i="9"/>
  <c r="J10" i="8"/>
  <c r="I10" i="8"/>
  <c r="H10" i="8"/>
  <c r="G10" i="8"/>
  <c r="F10" i="8"/>
  <c r="E10" i="8"/>
  <c r="D10" i="8"/>
  <c r="L9" i="8"/>
  <c r="K9" i="8"/>
  <c r="G9" i="8"/>
  <c r="F9" i="8"/>
  <c r="E9" i="8"/>
  <c r="L8" i="8"/>
  <c r="K8" i="8"/>
  <c r="G8" i="8"/>
  <c r="F8" i="8"/>
  <c r="E8" i="8"/>
  <c r="L7" i="8"/>
  <c r="K7" i="8"/>
  <c r="G7" i="8"/>
  <c r="F7" i="8"/>
  <c r="E7" i="8"/>
  <c r="J10" i="7"/>
  <c r="I10" i="7"/>
  <c r="H10" i="7"/>
  <c r="G10" i="7"/>
  <c r="F10" i="7"/>
  <c r="E10" i="7"/>
  <c r="D10" i="7"/>
  <c r="L9" i="7"/>
  <c r="K9" i="7"/>
  <c r="G9" i="7"/>
  <c r="F9" i="7"/>
  <c r="E9" i="7"/>
  <c r="L8" i="7"/>
  <c r="K8" i="7"/>
  <c r="G8" i="7"/>
  <c r="F8" i="7"/>
  <c r="E8" i="7"/>
  <c r="L7" i="7"/>
  <c r="K7" i="7"/>
  <c r="G7" i="7"/>
  <c r="F7" i="7"/>
  <c r="E7" i="7"/>
  <c r="J12" i="6"/>
  <c r="I12" i="6"/>
  <c r="H12" i="6"/>
  <c r="G12" i="6"/>
  <c r="F12" i="6"/>
  <c r="E12" i="6"/>
  <c r="D12" i="6"/>
  <c r="L10" i="6"/>
  <c r="K10" i="6"/>
  <c r="G10" i="6"/>
  <c r="F10" i="6"/>
  <c r="E10" i="6"/>
  <c r="L9" i="6"/>
  <c r="K9" i="6"/>
  <c r="G9" i="6"/>
  <c r="F9" i="6"/>
  <c r="E9" i="6"/>
  <c r="L7" i="6"/>
  <c r="K7" i="6"/>
  <c r="G7" i="6"/>
  <c r="F7" i="6"/>
  <c r="E7" i="6"/>
  <c r="S10" i="10"/>
  <c r="R10" i="10"/>
  <c r="Q10" i="10"/>
  <c r="H10" i="10"/>
  <c r="F7" i="10"/>
  <c r="E7" i="10"/>
  <c r="E5" i="10"/>
  <c r="E10" i="10" l="1"/>
  <c r="F10" i="10"/>
  <c r="I6" i="10" l="1"/>
  <c r="I5" i="10" l="1"/>
  <c r="D7" i="10" l="1"/>
  <c r="D8" i="10"/>
  <c r="D6" i="10"/>
  <c r="C10" i="10" l="1"/>
  <c r="D5" i="10"/>
  <c r="D10" i="10" s="1"/>
  <c r="I7" i="10"/>
  <c r="L10" i="10" l="1"/>
  <c r="N10" i="10"/>
  <c r="O10" i="10"/>
  <c r="J10" i="10"/>
  <c r="K10" i="10"/>
  <c r="M10" i="10"/>
  <c r="G8" i="10" l="1"/>
  <c r="I8" i="10" l="1"/>
  <c r="I10" i="10" s="1"/>
  <c r="G10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tc={ECE3EE75-24BF-4644-8357-6CE4F763D168}</author>
    <author>user</author>
  </authors>
  <commentList>
    <comment ref="C2" authorId="0" shapeId="0" xr:uid="{ECE3EE75-24BF-4644-8357-6CE4F763D168}">
      <text>
        <t>[Threaded comment]
Your version of Excel allows you to read this threaded comment; however, any edits to it will get removed if the file is opened in a newer version of Excel. Learn more: https://go.microsoft.com/fwlink/?linkid=870924
Comment:
    Datuk Alijus Calon</t>
      </text>
    </comment>
    <comment ref="H2" authorId="1" shapeId="0" xr:uid="{CACC0593-8649-4B29-AEB1-5D6510C6567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DSP Madius Calon di Warisan Pluss</t>
        </r>
      </text>
    </comment>
  </commentList>
</comments>
</file>

<file path=xl/sharedStrings.xml><?xml version="1.0" encoding="utf-8"?>
<sst xmlns="http://schemas.openxmlformats.org/spreadsheetml/2006/main" count="589" uniqueCount="412">
  <si>
    <t>DASHBOARD PARLIMEN TUARAN</t>
  </si>
  <si>
    <t>PARLIMEN</t>
  </si>
  <si>
    <t>DUN</t>
  </si>
  <si>
    <t>BILANGAN PENGUNDI BERDAFTAR</t>
  </si>
  <si>
    <r>
      <rPr>
        <sz val="10"/>
        <color theme="1"/>
        <rFont val="Calibri"/>
        <family val="2"/>
        <scheme val="minor"/>
      </rPr>
      <t>Anggaran Peratusan Turun Mengundi</t>
    </r>
    <r>
      <rPr>
        <b/>
        <sz val="10"/>
        <color theme="1"/>
        <rFont val="Calibri"/>
        <family val="2"/>
        <scheme val="minor"/>
      </rPr>
      <t xml:space="preserve"> (75%)</t>
    </r>
  </si>
  <si>
    <t>PILIHANRAYA LEPAS</t>
  </si>
  <si>
    <r>
      <rPr>
        <sz val="10"/>
        <color theme="1"/>
        <rFont val="Calibri"/>
        <family val="2"/>
        <scheme val="minor"/>
      </rPr>
      <t>Sasaran UNDI 60</t>
    </r>
    <r>
      <rPr>
        <b/>
        <sz val="10"/>
        <color theme="1"/>
        <rFont val="Calibri"/>
        <family val="2"/>
        <scheme val="minor"/>
      </rPr>
      <t>%</t>
    </r>
  </si>
  <si>
    <t>SASARAN Sukarelawan</t>
  </si>
  <si>
    <r>
      <rPr>
        <sz val="10"/>
        <color theme="1"/>
        <rFont val="Calibri"/>
        <family val="2"/>
        <scheme val="minor"/>
      </rPr>
      <t xml:space="preserve">JUMLAH Sukarelawan </t>
    </r>
    <r>
      <rPr>
        <b/>
        <sz val="10"/>
        <color theme="1"/>
        <rFont val="Calibri"/>
        <family val="2"/>
        <scheme val="minor"/>
      </rPr>
      <t>TERKINI</t>
    </r>
  </si>
  <si>
    <r>
      <rPr>
        <sz val="10"/>
        <color theme="1"/>
        <rFont val="Calibri"/>
        <family val="2"/>
        <scheme val="minor"/>
      </rPr>
      <t xml:space="preserve">PUTIH </t>
    </r>
    <r>
      <rPr>
        <b/>
        <sz val="10"/>
        <color theme="1"/>
        <rFont val="Calibri"/>
        <family val="2"/>
        <scheme val="minor"/>
      </rPr>
      <t>TERKINI</t>
    </r>
  </si>
  <si>
    <t>Atas Pagar</t>
  </si>
  <si>
    <t>HITAM</t>
  </si>
  <si>
    <t>Tidak Di Kenali</t>
  </si>
  <si>
    <t>Meninggal Dunia</t>
  </si>
  <si>
    <t>Pengundi Luar DUN</t>
  </si>
  <si>
    <t>PECAHAN PENGUNDI MENGIKUT UMUR</t>
  </si>
  <si>
    <t>PRU15 2022</t>
  </si>
  <si>
    <t>PRN 2025</t>
  </si>
  <si>
    <t>18 - 30</t>
  </si>
  <si>
    <t>31 - 45</t>
  </si>
  <si>
    <t>46 - KEATAS</t>
  </si>
  <si>
    <t>P 170 TUARAN</t>
  </si>
  <si>
    <t>N12 SULAMAN</t>
  </si>
  <si>
    <t>N13 PANTAI DALIT</t>
  </si>
  <si>
    <t>N14 TAMPARULI</t>
  </si>
  <si>
    <t>N15 KIULU</t>
  </si>
  <si>
    <t>UNDI POS/UNDI AWAL</t>
  </si>
  <si>
    <t>JUMLAH</t>
  </si>
  <si>
    <t>CLC KIULU</t>
  </si>
  <si>
    <t>NAMA PEGAWAI      :</t>
  </si>
  <si>
    <t>JINIK BOLIKING</t>
  </si>
  <si>
    <t>TAG     :</t>
  </si>
  <si>
    <t>JINIKD/T/01</t>
  </si>
  <si>
    <t>OVERALL KPI</t>
  </si>
  <si>
    <t>NAMA PEGAWAI</t>
  </si>
  <si>
    <t>PDM</t>
  </si>
  <si>
    <t>KETUA PDM</t>
  </si>
  <si>
    <r>
      <rPr>
        <sz val="11"/>
        <color theme="1"/>
        <rFont val="Calibri"/>
        <family val="2"/>
        <scheme val="minor"/>
      </rPr>
      <t>Anggaran Peratusan Turun Mengundi</t>
    </r>
    <r>
      <rPr>
        <b/>
        <sz val="11"/>
        <color theme="1"/>
        <rFont val="Calibri"/>
        <family val="2"/>
        <scheme val="minor"/>
      </rPr>
      <t xml:space="preserve"> (75%)</t>
    </r>
  </si>
  <si>
    <r>
      <rPr>
        <sz val="11"/>
        <color theme="1"/>
        <rFont val="Calibri"/>
        <family val="2"/>
        <scheme val="minor"/>
      </rPr>
      <t>Sasaran UNDI 60</t>
    </r>
    <r>
      <rPr>
        <b/>
        <sz val="11"/>
        <color theme="1"/>
        <rFont val="Calibri"/>
        <family val="2"/>
        <scheme val="minor"/>
      </rPr>
      <t>%</t>
    </r>
  </si>
  <si>
    <r>
      <rPr>
        <sz val="11"/>
        <color theme="1"/>
        <rFont val="Calibri"/>
        <family val="2"/>
        <scheme val="minor"/>
      </rPr>
      <t xml:space="preserve">JUMLAH Sukarelawan </t>
    </r>
    <r>
      <rPr>
        <b/>
        <sz val="11"/>
        <color theme="1"/>
        <rFont val="Calibri"/>
        <family val="2"/>
        <scheme val="minor"/>
      </rPr>
      <t>TERKINI</t>
    </r>
  </si>
  <si>
    <r>
      <rPr>
        <sz val="11"/>
        <color theme="1"/>
        <rFont val="Calibri"/>
        <family val="2"/>
        <scheme val="minor"/>
      </rPr>
      <t xml:space="preserve">Jumlah TikTokers </t>
    </r>
    <r>
      <rPr>
        <b/>
        <sz val="11"/>
        <color theme="1"/>
        <rFont val="Calibri"/>
        <family val="2"/>
        <scheme val="minor"/>
      </rPr>
      <t>TERKINI</t>
    </r>
  </si>
  <si>
    <r>
      <rPr>
        <sz val="11"/>
        <color theme="1"/>
        <rFont val="Calibri"/>
        <family val="2"/>
        <scheme val="minor"/>
      </rPr>
      <t xml:space="preserve">PUTIH </t>
    </r>
    <r>
      <rPr>
        <b/>
        <sz val="11"/>
        <color theme="1"/>
        <rFont val="Calibri"/>
        <family val="2"/>
        <scheme val="minor"/>
      </rPr>
      <t>TERKINI</t>
    </r>
  </si>
  <si>
    <t>% PENCAPAIAN PDM</t>
  </si>
  <si>
    <t>% PENCAPAIAN PEGAWAI</t>
  </si>
  <si>
    <t>JINIK      ROBERT</t>
  </si>
  <si>
    <t>TAGINAMBUR</t>
  </si>
  <si>
    <t>ASRAF ABDULLAH</t>
  </si>
  <si>
    <t>T. SIMPODON</t>
  </si>
  <si>
    <t>TOMIS</t>
  </si>
  <si>
    <t>NIKSON DAUNI</t>
  </si>
  <si>
    <t>AMANDUS JUANIS</t>
  </si>
  <si>
    <t>TAG      :</t>
  </si>
  <si>
    <t>AMANDUSJ/T/01</t>
  </si>
  <si>
    <t>Bilangan Pengundi Terkini</t>
  </si>
  <si>
    <r>
      <rPr>
        <sz val="11"/>
        <color theme="1"/>
        <rFont val="Calibri"/>
        <family val="2"/>
        <scheme val="minor"/>
      </rPr>
      <t>Sasaran TIKTOKERS 60</t>
    </r>
    <r>
      <rPr>
        <b/>
        <sz val="11"/>
        <color theme="1"/>
        <rFont val="Calibri"/>
        <family val="2"/>
        <scheme val="minor"/>
      </rPr>
      <t>%</t>
    </r>
  </si>
  <si>
    <t>SASARAN PENGERAK</t>
  </si>
  <si>
    <t>JUMLAH PENGERAK TERKINI</t>
  </si>
  <si>
    <r>
      <rPr>
        <sz val="11"/>
        <color theme="1"/>
        <rFont val="Calibri"/>
        <family val="2"/>
        <scheme val="minor"/>
      </rPr>
      <t xml:space="preserve">Sokongan  </t>
    </r>
    <r>
      <rPr>
        <b/>
        <sz val="11"/>
        <color theme="1"/>
        <rFont val="Calibri"/>
        <family val="2"/>
        <scheme val="minor"/>
      </rPr>
      <t>TERKINI</t>
    </r>
  </si>
  <si>
    <t>AMANDUS   ROBERT</t>
  </si>
  <si>
    <t>PAHU</t>
  </si>
  <si>
    <t>SUALI SIKIR</t>
  </si>
  <si>
    <t>PUKAK</t>
  </si>
  <si>
    <t>LATIUS SIKAT</t>
  </si>
  <si>
    <t>SIMPANGAN</t>
  </si>
  <si>
    <t>YASUN KIHIM</t>
  </si>
  <si>
    <t>NAMA PEGAWAI:</t>
  </si>
  <si>
    <t>LOMITI JAHAN</t>
  </si>
  <si>
    <t>LOMITIJ/T/01</t>
  </si>
  <si>
    <t>LOMITI    ROBERT</t>
  </si>
  <si>
    <t>BONGOL</t>
  </si>
  <si>
    <t>SINTINGON DUNGGI</t>
  </si>
  <si>
    <t>KELAWAT</t>
  </si>
  <si>
    <t>ROBERT ASSAN GUNTING</t>
  </si>
  <si>
    <t>TOGOP</t>
  </si>
  <si>
    <t>MARKUS SAMBAG</t>
  </si>
  <si>
    <t>NAMA PEGAWAI  :</t>
  </si>
  <si>
    <t>JAINYSIUS SIPAN</t>
  </si>
  <si>
    <t xml:space="preserve">TAG     :       </t>
  </si>
  <si>
    <t>JAINYS/T/01</t>
  </si>
  <si>
    <t>JAINYSIUS  ROBERT</t>
  </si>
  <si>
    <t>MANTOB</t>
  </si>
  <si>
    <t>KIUN LIMBAT   JIMIN TIBIN</t>
  </si>
  <si>
    <t>PORING</t>
  </si>
  <si>
    <t>ROBERT GUBAT</t>
  </si>
  <si>
    <t>TUDAN</t>
  </si>
  <si>
    <t>ALEXSIUS SIPAN</t>
  </si>
  <si>
    <t>NAMA PEGAWAI       :</t>
  </si>
  <si>
    <t>RAYNER EBI</t>
  </si>
  <si>
    <t>TAG    :</t>
  </si>
  <si>
    <t>RAYNERE/T/01</t>
  </si>
  <si>
    <t>RAYNER EBI      ROBERT TINUS</t>
  </si>
  <si>
    <t>KIULU</t>
  </si>
  <si>
    <t>DENNIS KIMIN     JANIUS IKAT</t>
  </si>
  <si>
    <t>MALANGANG</t>
  </si>
  <si>
    <t>EDWIN GODUNGKI</t>
  </si>
  <si>
    <t>RANGALAU</t>
  </si>
  <si>
    <t>LOIMIN GONSU</t>
  </si>
  <si>
    <t>TIKTOKERS AMANDUS</t>
  </si>
  <si>
    <t>NATALIA AMANDA AMANDUS</t>
  </si>
  <si>
    <t>011-31622674</t>
  </si>
  <si>
    <t>020923-12-0878</t>
  </si>
  <si>
    <t>PUKAK 1</t>
  </si>
  <si>
    <t>IVENDER JOHN</t>
  </si>
  <si>
    <t>011-31661047</t>
  </si>
  <si>
    <t>980531-12-5491</t>
  </si>
  <si>
    <t>CLYVER JELIUS</t>
  </si>
  <si>
    <t>012-8186294      017-5740921</t>
  </si>
  <si>
    <t>030213-12-1365</t>
  </si>
  <si>
    <t>CHRISTINE JANIUS</t>
  </si>
  <si>
    <t>013-8508780</t>
  </si>
  <si>
    <t>990807-12-5820</t>
  </si>
  <si>
    <t>SMKTFS</t>
  </si>
  <si>
    <t>LINUS BARANTIS</t>
  </si>
  <si>
    <t>014-8031120</t>
  </si>
  <si>
    <t>830216-12-5551</t>
  </si>
  <si>
    <t>PUKAK 2</t>
  </si>
  <si>
    <t>PETRUS BIN BANATI</t>
  </si>
  <si>
    <t>019-8235705</t>
  </si>
  <si>
    <t>771106-12-5705</t>
  </si>
  <si>
    <t>JOUDIN BIN GINSAWAT</t>
  </si>
  <si>
    <t>016-3172523</t>
  </si>
  <si>
    <t>710410-12-5217</t>
  </si>
  <si>
    <t>CHRISLINE DOMINIC</t>
  </si>
  <si>
    <t>013-8630802</t>
  </si>
  <si>
    <t>991018-12-7692</t>
  </si>
  <si>
    <t>NATAN BIN KIMUN</t>
  </si>
  <si>
    <t>011-16212756</t>
  </si>
  <si>
    <t>961102-12-6679</t>
  </si>
  <si>
    <t>STEFANUS YASUN</t>
  </si>
  <si>
    <t>013-8888637</t>
  </si>
  <si>
    <t>920925-12-6783</t>
  </si>
  <si>
    <t>JOSUE JAMES</t>
  </si>
  <si>
    <t>011-21829738</t>
  </si>
  <si>
    <t>770722-12-5309</t>
  </si>
  <si>
    <t>GEORGE BIN GEROTOM</t>
  </si>
  <si>
    <t>011-31630955</t>
  </si>
  <si>
    <t>890415-12-6383</t>
  </si>
  <si>
    <t>ASYRAF ISQANDAR DANI ABDULLAH</t>
  </si>
  <si>
    <t>013-4404042</t>
  </si>
  <si>
    <t>960625-12-5777</t>
  </si>
  <si>
    <t>MARCIANA GUMBOLOG</t>
  </si>
  <si>
    <t>019-5858605</t>
  </si>
  <si>
    <t>860711-49-5522</t>
  </si>
  <si>
    <t>POLORIS JOHN WEEN</t>
  </si>
  <si>
    <t>012-8292449</t>
  </si>
  <si>
    <t>790424-12-5376</t>
  </si>
  <si>
    <t>BAHAI THOMAS BIN KANDAUNG</t>
  </si>
  <si>
    <t>017-8665560</t>
  </si>
  <si>
    <t>620427-12-5273</t>
  </si>
  <si>
    <t>YENTUNI BIN TONGGULU</t>
  </si>
  <si>
    <t>014-5579557</t>
  </si>
  <si>
    <t>840720-12-5189</t>
  </si>
  <si>
    <t>ADRIAN AHOI</t>
  </si>
  <si>
    <t>010-9460420</t>
  </si>
  <si>
    <t>930118-12-6655</t>
  </si>
  <si>
    <t>HAMAD</t>
  </si>
  <si>
    <t>FELIX YAKAI</t>
  </si>
  <si>
    <t>011-33220426</t>
  </si>
  <si>
    <t>911003-12-5923</t>
  </si>
  <si>
    <t>KONGGIS @ LOSIUS AKUN</t>
  </si>
  <si>
    <t>011-38553804</t>
  </si>
  <si>
    <t>640809-12-5357</t>
  </si>
  <si>
    <t>SK PEKAN KIULU</t>
  </si>
  <si>
    <t>FREDINA SOIBON</t>
  </si>
  <si>
    <t xml:space="preserve"> </t>
  </si>
  <si>
    <t>010724-12-0614</t>
  </si>
  <si>
    <t>MAILIZERITA KEFFLI INUNGKILI</t>
  </si>
  <si>
    <t>011-25364197</t>
  </si>
  <si>
    <t>820929-12-6328</t>
  </si>
  <si>
    <t>LENNIE BINTI PAYAR</t>
  </si>
  <si>
    <t>013-5461977</t>
  </si>
  <si>
    <t>770305-12-5252</t>
  </si>
  <si>
    <t>RITA LAHAI</t>
  </si>
  <si>
    <t>011-16083646</t>
  </si>
  <si>
    <t>800224-12-5482</t>
  </si>
  <si>
    <t>VIVIE ADELLA AGUSTINE</t>
  </si>
  <si>
    <t>011-25254844</t>
  </si>
  <si>
    <t>891116-12-5342</t>
  </si>
  <si>
    <t>EDDY BIN SUAN</t>
  </si>
  <si>
    <t>013-8530971</t>
  </si>
  <si>
    <t>900627-12-5493</t>
  </si>
  <si>
    <t>WILFRED KASUN</t>
  </si>
  <si>
    <t>016-4947466</t>
  </si>
  <si>
    <t>780508-12-5729</t>
  </si>
  <si>
    <t>SOIBONBIN KINSONG</t>
  </si>
  <si>
    <t>620606-12-5199</t>
  </si>
  <si>
    <t>KITAPOL</t>
  </si>
  <si>
    <t>JANLY TOISIN</t>
  </si>
  <si>
    <t>740503-12-5117</t>
  </si>
  <si>
    <t>KUNIMEH GUBUD</t>
  </si>
  <si>
    <t>010-5866512</t>
  </si>
  <si>
    <t>780625-12-5680</t>
  </si>
  <si>
    <t>DEAN CHESTER RASSIN</t>
  </si>
  <si>
    <t>011-24829398</t>
  </si>
  <si>
    <t>920304-12-5315</t>
  </si>
  <si>
    <t>JOVITA BINTI GODUNGKI</t>
  </si>
  <si>
    <t>010-4302970</t>
  </si>
  <si>
    <t>740106-12-5578</t>
  </si>
  <si>
    <t>WELLMEN RASSIN</t>
  </si>
  <si>
    <t>011-73468327</t>
  </si>
  <si>
    <t>790325-12-5231</t>
  </si>
  <si>
    <t>BONAVENTURE ROMANUS</t>
  </si>
  <si>
    <t>019-5826411</t>
  </si>
  <si>
    <t>740214-12-5145</t>
  </si>
  <si>
    <t>D NORBERT BIN JAIMIS</t>
  </si>
  <si>
    <t>010-8185145</t>
  </si>
  <si>
    <t>810526-12-5145</t>
  </si>
  <si>
    <t>JUSTIN BANGOT</t>
  </si>
  <si>
    <t>016-8021289</t>
  </si>
  <si>
    <t>810225-12-5153</t>
  </si>
  <si>
    <t>FOE @ FOUSTINUS PETER</t>
  </si>
  <si>
    <t>014-3572773</t>
  </si>
  <si>
    <t>700515-12-5329</t>
  </si>
  <si>
    <t>IVYGRACE COLIN @ LIDIH</t>
  </si>
  <si>
    <t>013-6094472</t>
  </si>
  <si>
    <t>010503-12-0522</t>
  </si>
  <si>
    <t>NANCY IBAN</t>
  </si>
  <si>
    <t>011-31972305</t>
  </si>
  <si>
    <t>780410-12-5202</t>
  </si>
  <si>
    <t>GAINUSBIN LINSIUNG</t>
  </si>
  <si>
    <t>017-8106035</t>
  </si>
  <si>
    <t>610801-12-5187</t>
  </si>
  <si>
    <t>TIMAH BINTI DUSIP</t>
  </si>
  <si>
    <t>019-8114735</t>
  </si>
  <si>
    <t>631020-12-5240</t>
  </si>
  <si>
    <t>LEVIRONISA NOZZLEE</t>
  </si>
  <si>
    <t>013-6453375</t>
  </si>
  <si>
    <t>001110-12-0906</t>
  </si>
  <si>
    <t>PATAU SAMARING</t>
  </si>
  <si>
    <t>011-25003394</t>
  </si>
  <si>
    <t>810625-12-5351</t>
  </si>
  <si>
    <t>ALIRON TIKUN</t>
  </si>
  <si>
    <t>014-2048336</t>
  </si>
  <si>
    <t>841216-12-5985</t>
  </si>
  <si>
    <t>JUNATAN BIN DANGKU</t>
  </si>
  <si>
    <t>017-8390270</t>
  </si>
  <si>
    <t>701231-12-5241</t>
  </si>
  <si>
    <t>MINOR GADAROI</t>
  </si>
  <si>
    <t>017-8211273</t>
  </si>
  <si>
    <t>821104-12-5341</t>
  </si>
  <si>
    <t>DAISY BINTI  MORISIN</t>
  </si>
  <si>
    <t>016-8285234</t>
  </si>
  <si>
    <t>790415-12-5884</t>
  </si>
  <si>
    <t>JAIMOD LAMBUN</t>
  </si>
  <si>
    <t>014-5715027</t>
  </si>
  <si>
    <t>800701-12-5021</t>
  </si>
  <si>
    <t>SURHANI BIN BOGING</t>
  </si>
  <si>
    <t>011-31955561</t>
  </si>
  <si>
    <t>680117-12-5109</t>
  </si>
  <si>
    <t>019-8117563</t>
  </si>
  <si>
    <t>760617-12-5535</t>
  </si>
  <si>
    <t>PHIIP @ JUSTIN BIN GILAN</t>
  </si>
  <si>
    <t>019-8406219</t>
  </si>
  <si>
    <t>641231-12-5389</t>
  </si>
  <si>
    <t>EVELYN BINTI LINSOK</t>
  </si>
  <si>
    <t>019-4873703</t>
  </si>
  <si>
    <t>770402-12-5078</t>
  </si>
  <si>
    <t>JUSTINE BIN YANTING</t>
  </si>
  <si>
    <t>017-8236211</t>
  </si>
  <si>
    <t>780213-12-5211</t>
  </si>
  <si>
    <t>SOIMIN BIN GABAG</t>
  </si>
  <si>
    <t>017-9833798</t>
  </si>
  <si>
    <t>621008-12-5193</t>
  </si>
  <si>
    <t>JUSTIN BIN KAGI</t>
  </si>
  <si>
    <t>011-72663166</t>
  </si>
  <si>
    <t>741222-12-5721</t>
  </si>
  <si>
    <t>PAUL BIN LAGAHUNG</t>
  </si>
  <si>
    <t>011-12652807</t>
  </si>
  <si>
    <t>760426-12-5487</t>
  </si>
  <si>
    <t>JOLIUS BIN SOBINTING @ SIBINTING</t>
  </si>
  <si>
    <t>011-20812148</t>
  </si>
  <si>
    <t>680415-12-5289</t>
  </si>
  <si>
    <t>RUDOL BIN LAGAHUNG</t>
  </si>
  <si>
    <t>011-12095428</t>
  </si>
  <si>
    <t>680316-12-5101</t>
  </si>
  <si>
    <t>ALAYSIUS WONG</t>
  </si>
  <si>
    <t>012-8191362</t>
  </si>
  <si>
    <t>781228-12-5051</t>
  </si>
  <si>
    <t>TIONG SIMPODON</t>
  </si>
  <si>
    <t>ROEYZEAR GONIS</t>
  </si>
  <si>
    <t>013-5588451</t>
  </si>
  <si>
    <t>890223-12-6055</t>
  </si>
  <si>
    <t>HILARIEY MARTIN</t>
  </si>
  <si>
    <t>010-8458557</t>
  </si>
  <si>
    <t>920110-12-5755</t>
  </si>
  <si>
    <t>VITUS DAIMI</t>
  </si>
  <si>
    <t>011-12524810</t>
  </si>
  <si>
    <t>980518-12-5243</t>
  </si>
  <si>
    <t>HAROLD BIN SAMBAG</t>
  </si>
  <si>
    <t>013-8630053</t>
  </si>
  <si>
    <t>750326-12-5173</t>
  </si>
  <si>
    <t>GEORGY SUMBING</t>
  </si>
  <si>
    <t>018-9712280</t>
  </si>
  <si>
    <t>900712-12-6255</t>
  </si>
  <si>
    <t>MILA CAMELLIA BINTI PAUL</t>
  </si>
  <si>
    <t>013-4671503</t>
  </si>
  <si>
    <t>970919-12-5210</t>
  </si>
  <si>
    <t>JULIANA TOUNSUN</t>
  </si>
  <si>
    <t>017-8949978</t>
  </si>
  <si>
    <t>760602-12-5259</t>
  </si>
  <si>
    <t>PAULINA BARAGUS</t>
  </si>
  <si>
    <t>011-16477266</t>
  </si>
  <si>
    <t>860302-12-5230</t>
  </si>
  <si>
    <t>LUIS AMIN</t>
  </si>
  <si>
    <t>017-8985563</t>
  </si>
  <si>
    <t>880301-12-6001</t>
  </si>
  <si>
    <t>MC LAREN MARTIN</t>
  </si>
  <si>
    <t>014-5635927</t>
  </si>
  <si>
    <t>010621-12-0689</t>
  </si>
  <si>
    <t>JULIANAH BINTI RAZAN</t>
  </si>
  <si>
    <t>013-8201655</t>
  </si>
  <si>
    <t>720710-12-5824</t>
  </si>
  <si>
    <t>EDDY  WOLD PERGI</t>
  </si>
  <si>
    <t>011-19056526</t>
  </si>
  <si>
    <t>940720-12-6649</t>
  </si>
  <si>
    <t>JOLLY VIEKIE JOUMIN</t>
  </si>
  <si>
    <t>012-8295085</t>
  </si>
  <si>
    <t>000706-12-0363</t>
  </si>
  <si>
    <t>CHRISTOPER GUDIN</t>
  </si>
  <si>
    <t>860620-49-5799</t>
  </si>
  <si>
    <t>VESSIE BINTI GILUK</t>
  </si>
  <si>
    <t>014-8540423</t>
  </si>
  <si>
    <t>900510-12-5166</t>
  </si>
  <si>
    <t>NATHANIEL F. AMANDUS</t>
  </si>
  <si>
    <t>014-7020409</t>
  </si>
  <si>
    <t>STANLEY BOYD DUANIS</t>
  </si>
  <si>
    <t>017-8394870</t>
  </si>
  <si>
    <t>SYLVENDER SITIM</t>
  </si>
  <si>
    <t>013-9348742</t>
  </si>
  <si>
    <t xml:space="preserve"> ALTER DODIBITIUS </t>
  </si>
  <si>
    <t>011-12665731</t>
  </si>
  <si>
    <t>CHRISTIANO JELIUS</t>
  </si>
  <si>
    <t>012-8366239</t>
  </si>
  <si>
    <t>ERNA WELTI TOUSIN</t>
  </si>
  <si>
    <t>014-9986436</t>
  </si>
  <si>
    <t xml:space="preserve">JENNY LOUIS </t>
  </si>
  <si>
    <t>012-8440155</t>
  </si>
  <si>
    <t>JESSE LADIMIN</t>
  </si>
  <si>
    <t>017-8154197</t>
  </si>
  <si>
    <t xml:space="preserve">PUKAK 1 </t>
  </si>
  <si>
    <t>LINNE MICHAEL</t>
  </si>
  <si>
    <t>011-27832194</t>
  </si>
  <si>
    <t>JADUAL PERJUMPAAN DENGAN KETUA-KETUA PDM</t>
  </si>
  <si>
    <t>DISEMBER 2024</t>
  </si>
  <si>
    <t>PEGAWAI YANG MENYELIA</t>
  </si>
  <si>
    <t>PDM KIULU</t>
  </si>
  <si>
    <t>RAYNER / ROBERT</t>
  </si>
  <si>
    <t>√</t>
  </si>
  <si>
    <t>PDM MALANGANG</t>
  </si>
  <si>
    <t>PDM RANGALAU</t>
  </si>
  <si>
    <t>PDM PAHU</t>
  </si>
  <si>
    <t>AMANDUS / ROBERT</t>
  </si>
  <si>
    <t>PDM PUKAK</t>
  </si>
  <si>
    <t>PDM SIMPANGAN</t>
  </si>
  <si>
    <t>PDM BONGOL</t>
  </si>
  <si>
    <t>LOMITI / ROBERT</t>
  </si>
  <si>
    <t>PDM KELAWAT</t>
  </si>
  <si>
    <t>PDM TOGOP</t>
  </si>
  <si>
    <t>PDM TAGINAMBUR</t>
  </si>
  <si>
    <t>JINIK / ROBERT</t>
  </si>
  <si>
    <t>PDM TIONG SIMPODON</t>
  </si>
  <si>
    <t>PDM TOMIS</t>
  </si>
  <si>
    <t>PDM MANTOB</t>
  </si>
  <si>
    <t>JAINYSIUS / ROBERT</t>
  </si>
  <si>
    <t>PDM PORING</t>
  </si>
  <si>
    <t>PDM TUDAN</t>
  </si>
  <si>
    <t>Keputusan PRU 15</t>
  </si>
  <si>
    <t>Penimbawan</t>
  </si>
  <si>
    <t>Tenghilan</t>
  </si>
  <si>
    <t>Rangalau</t>
  </si>
  <si>
    <t>Serusup</t>
  </si>
  <si>
    <t>Rani</t>
  </si>
  <si>
    <t>Kiulu</t>
  </si>
  <si>
    <t>Kindu</t>
  </si>
  <si>
    <t>Rungus</t>
  </si>
  <si>
    <t>Malangang</t>
  </si>
  <si>
    <t>Indai</t>
  </si>
  <si>
    <t>Rengalis</t>
  </si>
  <si>
    <t>Togop</t>
  </si>
  <si>
    <t>Batangan</t>
  </si>
  <si>
    <t>Topokon</t>
  </si>
  <si>
    <t>Kelawat</t>
  </si>
  <si>
    <t>Tambalang</t>
  </si>
  <si>
    <t>Sawah</t>
  </si>
  <si>
    <t>Bongol</t>
  </si>
  <si>
    <t>Baru-Baru</t>
  </si>
  <si>
    <t>Tamparuli</t>
  </si>
  <si>
    <t>Simpangan</t>
  </si>
  <si>
    <t>Mengkaladoi</t>
  </si>
  <si>
    <t>Taginambur</t>
  </si>
  <si>
    <t>Gayaratau</t>
  </si>
  <si>
    <t>Pukak</t>
  </si>
  <si>
    <t>Tuaran Bandar</t>
  </si>
  <si>
    <t>Kilang Bata</t>
  </si>
  <si>
    <t>Mantob</t>
  </si>
  <si>
    <t>Marabahai</t>
  </si>
  <si>
    <t>Telibong</t>
  </si>
  <si>
    <t>Pahu</t>
  </si>
  <si>
    <t>Mengkabong</t>
  </si>
  <si>
    <t>Tiong Simpodon</t>
  </si>
  <si>
    <t>Berungis</t>
  </si>
  <si>
    <t>Poring</t>
  </si>
  <si>
    <t>Gayang</t>
  </si>
  <si>
    <t>Tomis</t>
  </si>
  <si>
    <t>Nongkolud</t>
  </si>
  <si>
    <t>Tudan</t>
  </si>
  <si>
    <t>Telipok</t>
  </si>
  <si>
    <t>TAMPARULI</t>
  </si>
  <si>
    <t>PRU-15 (2022)</t>
  </si>
  <si>
    <t>PRN-17 (2025)</t>
  </si>
  <si>
    <t>PRN-16 (2020)</t>
  </si>
  <si>
    <t>Undi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</si>
</sst>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lightGrid"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70C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8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0" fillId="4" borderId="5" xfId="0" applyFill="1" applyBorder="1"/>
    <xf numFmtId="0" fontId="0" fillId="4" borderId="5" xfId="0" applyFill="1" applyBorder="1" applyAlignment="1">
      <alignment horizontal="center" vertical="center"/>
    </xf>
    <xf numFmtId="1" fontId="0" fillId="4" borderId="7" xfId="0" applyNumberFormat="1" applyFill="1" applyBorder="1" applyAlignment="1">
      <alignment horizontal="center" vertical="center"/>
    </xf>
    <xf numFmtId="1" fontId="0" fillId="4" borderId="5" xfId="0" applyNumberFormat="1" applyFill="1" applyBorder="1" applyAlignment="1">
      <alignment horizontal="center" vertical="center"/>
    </xf>
    <xf numFmtId="1" fontId="0" fillId="3" borderId="21" xfId="0" applyNumberFormat="1" applyFill="1" applyBorder="1" applyAlignment="1">
      <alignment horizontal="center" vertical="center"/>
    </xf>
    <xf numFmtId="1" fontId="0" fillId="3" borderId="9" xfId="0" applyNumberFormat="1" applyFill="1" applyBorder="1" applyAlignment="1">
      <alignment horizontal="center" vertical="center"/>
    </xf>
    <xf numFmtId="1" fontId="8" fillId="3" borderId="9" xfId="0" applyNumberFormat="1" applyFont="1" applyFill="1" applyBorder="1" applyAlignment="1">
      <alignment horizontal="center" vertical="center"/>
    </xf>
    <xf numFmtId="0" fontId="0" fillId="3" borderId="9" xfId="0" applyFill="1" applyBorder="1"/>
    <xf numFmtId="0" fontId="0" fillId="3" borderId="9" xfId="0" applyFill="1" applyBorder="1" applyAlignment="1">
      <alignment horizontal="center" vertical="center"/>
    </xf>
    <xf numFmtId="0" fontId="0" fillId="0" borderId="9" xfId="0" applyBorder="1"/>
    <xf numFmtId="0" fontId="0" fillId="0" borderId="11" xfId="0" applyBorder="1"/>
    <xf numFmtId="0" fontId="0" fillId="4" borderId="23" xfId="0" applyFill="1" applyBorder="1"/>
    <xf numFmtId="0" fontId="0" fillId="4" borderId="23" xfId="0" applyFill="1" applyBorder="1" applyAlignment="1">
      <alignment horizontal="center" vertical="center"/>
    </xf>
    <xf numFmtId="1" fontId="0" fillId="4" borderId="25" xfId="0" applyNumberFormat="1" applyFill="1" applyBorder="1" applyAlignment="1">
      <alignment horizontal="center" vertical="center"/>
    </xf>
    <xf numFmtId="1" fontId="0" fillId="4" borderId="23" xfId="0" applyNumberFormat="1" applyFill="1" applyBorder="1" applyAlignment="1">
      <alignment horizontal="center" vertical="center"/>
    </xf>
    <xf numFmtId="1" fontId="0" fillId="3" borderId="26" xfId="0" applyNumberFormat="1" applyFill="1" applyBorder="1" applyAlignment="1">
      <alignment horizontal="center" vertical="center"/>
    </xf>
    <xf numFmtId="1" fontId="0" fillId="3" borderId="27" xfId="0" applyNumberFormat="1" applyFill="1" applyBorder="1" applyAlignment="1">
      <alignment horizontal="center" vertical="center"/>
    </xf>
    <xf numFmtId="1" fontId="8" fillId="3" borderId="27" xfId="0" applyNumberFormat="1" applyFont="1" applyFill="1" applyBorder="1" applyAlignment="1">
      <alignment horizontal="center" vertical="center"/>
    </xf>
    <xf numFmtId="0" fontId="0" fillId="3" borderId="27" xfId="0" applyFill="1" applyBorder="1"/>
    <xf numFmtId="0" fontId="0" fillId="3" borderId="27" xfId="0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4" borderId="13" xfId="0" applyFill="1" applyBorder="1"/>
    <xf numFmtId="0" fontId="0" fillId="4" borderId="13" xfId="0" applyFill="1" applyBorder="1" applyAlignment="1">
      <alignment horizontal="center" vertical="center"/>
    </xf>
    <xf numFmtId="1" fontId="0" fillId="4" borderId="15" xfId="0" applyNumberFormat="1" applyFill="1" applyBorder="1" applyAlignment="1">
      <alignment horizontal="center" vertical="center"/>
    </xf>
    <xf numFmtId="1" fontId="0" fillId="4" borderId="13" xfId="0" applyNumberFormat="1" applyFill="1" applyBorder="1" applyAlignment="1">
      <alignment horizontal="center" vertical="center"/>
    </xf>
    <xf numFmtId="1" fontId="0" fillId="3" borderId="29" xfId="0" applyNumberFormat="1" applyFill="1" applyBorder="1" applyAlignment="1">
      <alignment horizontal="center" vertical="center"/>
    </xf>
    <xf numFmtId="1" fontId="0" fillId="3" borderId="17" xfId="0" applyNumberFormat="1" applyFill="1" applyBorder="1" applyAlignment="1">
      <alignment horizontal="center" vertical="center"/>
    </xf>
    <xf numFmtId="1" fontId="8" fillId="3" borderId="17" xfId="0" applyNumberFormat="1" applyFont="1" applyFill="1" applyBorder="1" applyAlignment="1">
      <alignment horizontal="center" vertical="center"/>
    </xf>
    <xf numFmtId="0" fontId="0" fillId="3" borderId="17" xfId="0" applyFill="1" applyBorder="1"/>
    <xf numFmtId="0" fontId="0" fillId="3" borderId="17" xfId="0" applyFill="1" applyBorder="1" applyAlignment="1">
      <alignment horizontal="center" vertical="center"/>
    </xf>
    <xf numFmtId="0" fontId="0" fillId="0" borderId="17" xfId="0" applyBorder="1"/>
    <xf numFmtId="0" fontId="0" fillId="0" borderId="19" xfId="0" applyBorder="1"/>
    <xf numFmtId="0" fontId="0" fillId="5" borderId="5" xfId="0" applyFill="1" applyBorder="1"/>
    <xf numFmtId="0" fontId="0" fillId="5" borderId="5" xfId="0" applyFill="1" applyBorder="1" applyAlignment="1">
      <alignment horizontal="center" vertical="center"/>
    </xf>
    <xf numFmtId="1" fontId="0" fillId="5" borderId="7" xfId="0" applyNumberFormat="1" applyFill="1" applyBorder="1" applyAlignment="1">
      <alignment horizontal="center" vertical="center"/>
    </xf>
    <xf numFmtId="1" fontId="0" fillId="5" borderId="5" xfId="0" applyNumberFormat="1" applyFill="1" applyBorder="1" applyAlignment="1">
      <alignment horizontal="center" vertical="center"/>
    </xf>
    <xf numFmtId="0" fontId="0" fillId="5" borderId="23" xfId="0" applyFill="1" applyBorder="1"/>
    <xf numFmtId="0" fontId="0" fillId="5" borderId="23" xfId="0" applyFill="1" applyBorder="1" applyAlignment="1">
      <alignment horizontal="center" vertical="center"/>
    </xf>
    <xf numFmtId="1" fontId="0" fillId="5" borderId="25" xfId="0" applyNumberFormat="1" applyFill="1" applyBorder="1" applyAlignment="1">
      <alignment horizontal="center" vertical="center"/>
    </xf>
    <xf numFmtId="1" fontId="0" fillId="5" borderId="23" xfId="0" applyNumberFormat="1" applyFill="1" applyBorder="1" applyAlignment="1">
      <alignment horizontal="center" vertical="center"/>
    </xf>
    <xf numFmtId="0" fontId="0" fillId="5" borderId="13" xfId="0" applyFill="1" applyBorder="1"/>
    <xf numFmtId="0" fontId="0" fillId="5" borderId="13" xfId="0" applyFill="1" applyBorder="1" applyAlignment="1">
      <alignment horizontal="center" vertical="center"/>
    </xf>
    <xf numFmtId="1" fontId="0" fillId="5" borderId="15" xfId="0" applyNumberFormat="1" applyFill="1" applyBorder="1" applyAlignment="1">
      <alignment horizontal="center" vertical="center"/>
    </xf>
    <xf numFmtId="1" fontId="0" fillId="5" borderId="13" xfId="0" applyNumberFormat="1" applyFill="1" applyBorder="1" applyAlignment="1">
      <alignment horizontal="center" vertical="center"/>
    </xf>
    <xf numFmtId="0" fontId="0" fillId="6" borderId="5" xfId="0" applyFill="1" applyBorder="1"/>
    <xf numFmtId="0" fontId="0" fillId="6" borderId="5" xfId="0" applyFill="1" applyBorder="1" applyAlignment="1">
      <alignment horizontal="center" vertical="center"/>
    </xf>
    <xf numFmtId="1" fontId="0" fillId="6" borderId="7" xfId="0" applyNumberFormat="1" applyFill="1" applyBorder="1" applyAlignment="1">
      <alignment horizontal="center" vertical="center"/>
    </xf>
    <xf numFmtId="1" fontId="0" fillId="6" borderId="5" xfId="0" applyNumberFormat="1" applyFill="1" applyBorder="1" applyAlignment="1">
      <alignment horizontal="center" vertical="center"/>
    </xf>
    <xf numFmtId="0" fontId="0" fillId="6" borderId="23" xfId="0" applyFill="1" applyBorder="1"/>
    <xf numFmtId="0" fontId="0" fillId="6" borderId="23" xfId="0" applyFill="1" applyBorder="1" applyAlignment="1">
      <alignment horizontal="center" vertical="center"/>
    </xf>
    <xf numFmtId="1" fontId="0" fillId="6" borderId="25" xfId="0" applyNumberFormat="1" applyFill="1" applyBorder="1" applyAlignment="1">
      <alignment horizontal="center" vertical="center"/>
    </xf>
    <xf numFmtId="1" fontId="0" fillId="6" borderId="23" xfId="0" applyNumberFormat="1" applyFill="1" applyBorder="1" applyAlignment="1">
      <alignment horizontal="center" vertical="center"/>
    </xf>
    <xf numFmtId="0" fontId="0" fillId="6" borderId="13" xfId="0" applyFill="1" applyBorder="1"/>
    <xf numFmtId="0" fontId="0" fillId="6" borderId="13" xfId="0" applyFill="1" applyBorder="1" applyAlignment="1">
      <alignment horizontal="center" vertical="center"/>
    </xf>
    <xf numFmtId="1" fontId="0" fillId="6" borderId="15" xfId="0" applyNumberFormat="1" applyFill="1" applyBorder="1" applyAlignment="1">
      <alignment horizontal="center" vertical="center"/>
    </xf>
    <xf numFmtId="1" fontId="0" fillId="6" borderId="13" xfId="0" applyNumberFormat="1" applyFill="1" applyBorder="1" applyAlignment="1">
      <alignment horizontal="center" vertical="center"/>
    </xf>
    <xf numFmtId="0" fontId="0" fillId="7" borderId="5" xfId="0" applyFill="1" applyBorder="1"/>
    <xf numFmtId="0" fontId="0" fillId="7" borderId="5" xfId="0" applyFill="1" applyBorder="1" applyAlignment="1">
      <alignment horizontal="center" vertical="center"/>
    </xf>
    <xf numFmtId="1" fontId="0" fillId="7" borderId="7" xfId="0" applyNumberFormat="1" applyFill="1" applyBorder="1" applyAlignment="1">
      <alignment horizontal="center" vertical="center"/>
    </xf>
    <xf numFmtId="1" fontId="0" fillId="7" borderId="5" xfId="0" applyNumberFormat="1" applyFill="1" applyBorder="1" applyAlignment="1">
      <alignment horizontal="center" vertical="center"/>
    </xf>
    <xf numFmtId="0" fontId="0" fillId="7" borderId="23" xfId="0" applyFill="1" applyBorder="1"/>
    <xf numFmtId="0" fontId="0" fillId="7" borderId="23" xfId="0" applyFill="1" applyBorder="1" applyAlignment="1">
      <alignment horizontal="center" vertical="center"/>
    </xf>
    <xf numFmtId="1" fontId="0" fillId="7" borderId="25" xfId="0" applyNumberFormat="1" applyFill="1" applyBorder="1" applyAlignment="1">
      <alignment horizontal="center" vertical="center"/>
    </xf>
    <xf numFmtId="1" fontId="0" fillId="7" borderId="23" xfId="0" applyNumberFormat="1" applyFill="1" applyBorder="1" applyAlignment="1">
      <alignment horizontal="center" vertical="center"/>
    </xf>
    <xf numFmtId="0" fontId="0" fillId="7" borderId="13" xfId="0" applyFill="1" applyBorder="1"/>
    <xf numFmtId="0" fontId="0" fillId="7" borderId="13" xfId="0" applyFill="1" applyBorder="1" applyAlignment="1">
      <alignment horizontal="center" vertical="center"/>
    </xf>
    <xf numFmtId="1" fontId="0" fillId="7" borderId="15" xfId="0" applyNumberFormat="1" applyFill="1" applyBorder="1" applyAlignment="1">
      <alignment horizontal="center" vertical="center"/>
    </xf>
    <xf numFmtId="1" fontId="0" fillId="7" borderId="13" xfId="0" applyNumberFormat="1" applyFill="1" applyBorder="1" applyAlignment="1">
      <alignment horizontal="center" vertical="center"/>
    </xf>
    <xf numFmtId="0" fontId="0" fillId="8" borderId="5" xfId="0" applyFill="1" applyBorder="1"/>
    <xf numFmtId="0" fontId="0" fillId="8" borderId="5" xfId="0" applyFill="1" applyBorder="1" applyAlignment="1">
      <alignment horizontal="center" vertical="center"/>
    </xf>
    <xf numFmtId="1" fontId="0" fillId="8" borderId="7" xfId="0" applyNumberFormat="1" applyFill="1" applyBorder="1" applyAlignment="1">
      <alignment horizontal="center" vertical="center"/>
    </xf>
    <xf numFmtId="1" fontId="0" fillId="8" borderId="5" xfId="0" applyNumberFormat="1" applyFill="1" applyBorder="1" applyAlignment="1">
      <alignment horizontal="center" vertical="center"/>
    </xf>
    <xf numFmtId="0" fontId="0" fillId="8" borderId="23" xfId="0" applyFill="1" applyBorder="1"/>
    <xf numFmtId="0" fontId="0" fillId="8" borderId="23" xfId="0" applyFill="1" applyBorder="1" applyAlignment="1">
      <alignment horizontal="center" vertical="center"/>
    </xf>
    <xf numFmtId="1" fontId="0" fillId="8" borderId="25" xfId="0" applyNumberFormat="1" applyFill="1" applyBorder="1" applyAlignment="1">
      <alignment horizontal="center" vertical="center"/>
    </xf>
    <xf numFmtId="1" fontId="0" fillId="8" borderId="23" xfId="0" applyNumberFormat="1" applyFill="1" applyBorder="1" applyAlignment="1">
      <alignment horizontal="center" vertical="center"/>
    </xf>
    <xf numFmtId="0" fontId="0" fillId="8" borderId="13" xfId="0" applyFill="1" applyBorder="1"/>
    <xf numFmtId="0" fontId="0" fillId="8" borderId="13" xfId="0" applyFill="1" applyBorder="1" applyAlignment="1">
      <alignment horizontal="center" vertical="center"/>
    </xf>
    <xf numFmtId="1" fontId="0" fillId="8" borderId="15" xfId="0" applyNumberFormat="1" applyFill="1" applyBorder="1" applyAlignment="1">
      <alignment horizontal="center" vertical="center"/>
    </xf>
    <xf numFmtId="1" fontId="0" fillId="8" borderId="13" xfId="0" applyNumberFormat="1" applyFill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  <xf numFmtId="1" fontId="9" fillId="0" borderId="34" xfId="0" applyNumberFormat="1" applyFont="1" applyBorder="1" applyAlignment="1">
      <alignment horizontal="center" vertical="center"/>
    </xf>
    <xf numFmtId="1" fontId="9" fillId="9" borderId="34" xfId="0" applyNumberFormat="1" applyFont="1" applyFill="1" applyBorder="1" applyAlignment="1">
      <alignment horizontal="center" vertical="center"/>
    </xf>
    <xf numFmtId="1" fontId="9" fillId="3" borderId="35" xfId="0" applyNumberFormat="1" applyFont="1" applyFill="1" applyBorder="1" applyAlignment="1">
      <alignment horizontal="center" vertical="center"/>
    </xf>
    <xf numFmtId="1" fontId="9" fillId="3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/>
    <xf numFmtId="0" fontId="0" fillId="0" borderId="27" xfId="0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27" xfId="0" applyBorder="1" applyAlignment="1">
      <alignment wrapText="1"/>
    </xf>
    <xf numFmtId="0" fontId="11" fillId="0" borderId="0" xfId="0" applyFont="1"/>
    <xf numFmtId="0" fontId="12" fillId="0" borderId="0" xfId="0" applyFont="1"/>
    <xf numFmtId="9" fontId="12" fillId="0" borderId="27" xfId="0" applyNumberFormat="1" applyFont="1" applyBorder="1" applyAlignment="1">
      <alignment horizontal="center" vertical="center"/>
    </xf>
    <xf numFmtId="0" fontId="0" fillId="2" borderId="27" xfId="0" applyFill="1" applyBorder="1" applyAlignment="1">
      <alignment horizontal="center" vertical="center" wrapText="1"/>
    </xf>
    <xf numFmtId="0" fontId="10" fillId="0" borderId="27" xfId="0" applyFont="1" applyBorder="1" applyAlignment="1">
      <alignment vertical="center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/>
    </xf>
    <xf numFmtId="1" fontId="10" fillId="0" borderId="27" xfId="0" applyNumberFormat="1" applyFont="1" applyBorder="1" applyAlignment="1">
      <alignment horizontal="center" vertical="center"/>
    </xf>
    <xf numFmtId="1" fontId="10" fillId="13" borderId="27" xfId="0" applyNumberFormat="1" applyFont="1" applyFill="1" applyBorder="1" applyAlignment="1">
      <alignment horizontal="center" vertical="center"/>
    </xf>
    <xf numFmtId="1" fontId="10" fillId="14" borderId="27" xfId="0" applyNumberFormat="1" applyFont="1" applyFill="1" applyBorder="1" applyAlignment="1">
      <alignment horizontal="center" vertical="center"/>
    </xf>
    <xf numFmtId="1" fontId="10" fillId="7" borderId="27" xfId="0" applyNumberFormat="1" applyFont="1" applyFill="1" applyBorder="1" applyAlignment="1">
      <alignment horizontal="center" vertical="center"/>
    </xf>
    <xf numFmtId="1" fontId="10" fillId="10" borderId="27" xfId="0" applyNumberFormat="1" applyFont="1" applyFill="1" applyBorder="1" applyAlignment="1">
      <alignment horizontal="center" vertical="center"/>
    </xf>
    <xf numFmtId="1" fontId="10" fillId="11" borderId="27" xfId="0" applyNumberFormat="1" applyFont="1" applyFill="1" applyBorder="1" applyAlignment="1">
      <alignment horizontal="center" vertical="center"/>
    </xf>
    <xf numFmtId="1" fontId="10" fillId="12" borderId="27" xfId="0" applyNumberFormat="1" applyFont="1" applyFill="1" applyBorder="1" applyAlignment="1">
      <alignment horizontal="center" vertical="center"/>
    </xf>
    <xf numFmtId="0" fontId="0" fillId="11" borderId="27" xfId="0" applyFill="1" applyBorder="1" applyAlignment="1">
      <alignment horizontal="center" vertical="center"/>
    </xf>
    <xf numFmtId="0" fontId="0" fillId="12" borderId="27" xfId="0" applyFill="1" applyBorder="1" applyAlignment="1">
      <alignment horizontal="center" vertical="center"/>
    </xf>
    <xf numFmtId="1" fontId="0" fillId="11" borderId="27" xfId="0" applyNumberFormat="1" applyFill="1" applyBorder="1" applyAlignment="1">
      <alignment horizontal="center" vertical="center"/>
    </xf>
    <xf numFmtId="0" fontId="14" fillId="0" borderId="0" xfId="0" applyFont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10" fillId="0" borderId="36" xfId="0" applyFont="1" applyBorder="1" applyAlignment="1">
      <alignment horizontal="left" vertical="center" wrapText="1"/>
    </xf>
    <xf numFmtId="0" fontId="0" fillId="0" borderId="27" xfId="0" applyBorder="1" applyAlignment="1">
      <alignment vertical="center" wrapText="1"/>
    </xf>
    <xf numFmtId="0" fontId="12" fillId="0" borderId="0" xfId="0" applyFont="1" applyAlignment="1">
      <alignment horizontal="left"/>
    </xf>
    <xf numFmtId="0" fontId="10" fillId="0" borderId="36" xfId="0" applyFont="1" applyBorder="1" applyAlignment="1">
      <alignment vertical="center"/>
    </xf>
    <xf numFmtId="0" fontId="10" fillId="0" borderId="36" xfId="0" applyFont="1" applyBorder="1" applyAlignment="1">
      <alignment horizontal="left" vertical="center"/>
    </xf>
    <xf numFmtId="0" fontId="10" fillId="0" borderId="36" xfId="0" applyFont="1" applyBorder="1" applyAlignment="1">
      <alignment horizontal="center" vertical="center"/>
    </xf>
    <xf numFmtId="1" fontId="10" fillId="0" borderId="36" xfId="0" applyNumberFormat="1" applyFont="1" applyBorder="1" applyAlignment="1">
      <alignment horizontal="center" vertical="center"/>
    </xf>
    <xf numFmtId="1" fontId="10" fillId="13" borderId="36" xfId="0" applyNumberFormat="1" applyFont="1" applyFill="1" applyBorder="1" applyAlignment="1">
      <alignment horizontal="center" vertical="center"/>
    </xf>
    <xf numFmtId="1" fontId="10" fillId="14" borderId="36" xfId="0" applyNumberFormat="1" applyFont="1" applyFill="1" applyBorder="1" applyAlignment="1">
      <alignment horizontal="center" vertical="center"/>
    </xf>
    <xf numFmtId="1" fontId="10" fillId="7" borderId="36" xfId="0" applyNumberFormat="1" applyFont="1" applyFill="1" applyBorder="1" applyAlignment="1">
      <alignment horizontal="center" vertical="center"/>
    </xf>
    <xf numFmtId="1" fontId="10" fillId="16" borderId="36" xfId="0" applyNumberFormat="1" applyFont="1" applyFill="1" applyBorder="1" applyAlignment="1">
      <alignment horizontal="center" vertical="center"/>
    </xf>
    <xf numFmtId="1" fontId="10" fillId="17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left" vertical="center"/>
    </xf>
    <xf numFmtId="1" fontId="10" fillId="16" borderId="27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9" fontId="16" fillId="0" borderId="27" xfId="0" applyNumberFormat="1" applyFont="1" applyBorder="1" applyAlignment="1">
      <alignment horizontal="center" vertical="center"/>
    </xf>
    <xf numFmtId="0" fontId="0" fillId="0" borderId="40" xfId="0" applyBorder="1"/>
    <xf numFmtId="1" fontId="10" fillId="9" borderId="36" xfId="0" applyNumberFormat="1" applyFont="1" applyFill="1" applyBorder="1" applyAlignment="1">
      <alignment horizontal="center" vertical="center"/>
    </xf>
    <xf numFmtId="1" fontId="10" fillId="4" borderId="36" xfId="0" applyNumberFormat="1" applyFont="1" applyFill="1" applyBorder="1" applyAlignment="1">
      <alignment horizontal="center" vertical="center"/>
    </xf>
    <xf numFmtId="1" fontId="10" fillId="11" borderId="36" xfId="0" applyNumberFormat="1" applyFont="1" applyFill="1" applyBorder="1" applyAlignment="1">
      <alignment horizontal="center" vertical="center"/>
    </xf>
    <xf numFmtId="1" fontId="10" fillId="12" borderId="36" xfId="0" applyNumberFormat="1" applyFont="1" applyFill="1" applyBorder="1" applyAlignment="1">
      <alignment horizontal="center" vertical="center"/>
    </xf>
    <xf numFmtId="1" fontId="10" fillId="9" borderId="27" xfId="0" applyNumberFormat="1" applyFont="1" applyFill="1" applyBorder="1" applyAlignment="1">
      <alignment horizontal="center" vertical="center"/>
    </xf>
    <xf numFmtId="1" fontId="10" fillId="4" borderId="27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18" borderId="36" xfId="0" applyFont="1" applyFill="1" applyBorder="1" applyAlignment="1">
      <alignment horizontal="center" vertical="center" wrapText="1"/>
    </xf>
    <xf numFmtId="0" fontId="5" fillId="18" borderId="37" xfId="0" applyFont="1" applyFill="1" applyBorder="1" applyAlignment="1">
      <alignment horizontal="center" vertical="center" wrapText="1"/>
    </xf>
    <xf numFmtId="1" fontId="0" fillId="0" borderId="27" xfId="0" applyNumberFormat="1" applyBorder="1" applyAlignment="1">
      <alignment horizontal="center" vertical="center"/>
    </xf>
    <xf numFmtId="1" fontId="0" fillId="9" borderId="27" xfId="0" applyNumberFormat="1" applyFill="1" applyBorder="1" applyAlignment="1">
      <alignment horizontal="center" vertical="center"/>
    </xf>
    <xf numFmtId="1" fontId="0" fillId="21" borderId="27" xfId="0" applyNumberFormat="1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9" fillId="20" borderId="38" xfId="0" applyFont="1" applyFill="1" applyBorder="1" applyAlignment="1">
      <alignment horizontal="center" vertical="center" wrapText="1"/>
    </xf>
    <xf numFmtId="1" fontId="0" fillId="0" borderId="27" xfId="0" applyNumberFormat="1" applyBorder="1" applyAlignment="1">
      <alignment horizontal="center"/>
    </xf>
    <xf numFmtId="1" fontId="0" fillId="0" borderId="0" xfId="0" applyNumberFormat="1"/>
    <xf numFmtId="0" fontId="9" fillId="0" borderId="27" xfId="0" applyFont="1" applyBorder="1" applyAlignment="1">
      <alignment horizontal="center" vertical="center"/>
    </xf>
    <xf numFmtId="1" fontId="9" fillId="0" borderId="27" xfId="0" applyNumberFormat="1" applyFont="1" applyBorder="1" applyAlignment="1">
      <alignment horizontal="center" vertical="center"/>
    </xf>
    <xf numFmtId="1" fontId="9" fillId="9" borderId="27" xfId="0" applyNumberFormat="1" applyFont="1" applyFill="1" applyBorder="1" applyAlignment="1">
      <alignment horizontal="center" vertical="center"/>
    </xf>
    <xf numFmtId="1" fontId="9" fillId="21" borderId="2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1" fontId="0" fillId="2" borderId="27" xfId="0" applyNumberForma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 wrapText="1"/>
    </xf>
    <xf numFmtId="0" fontId="5" fillId="9" borderId="36" xfId="0" applyFont="1" applyFill="1" applyBorder="1" applyAlignment="1">
      <alignment horizontal="center" vertical="center" wrapText="1"/>
    </xf>
    <xf numFmtId="0" fontId="5" fillId="9" borderId="37" xfId="0" applyFont="1" applyFill="1" applyBorder="1" applyAlignment="1">
      <alignment horizontal="center" vertical="center" wrapText="1"/>
    </xf>
    <xf numFmtId="0" fontId="5" fillId="4" borderId="36" xfId="0" applyFont="1" applyFill="1" applyBorder="1" applyAlignment="1">
      <alignment horizontal="center" vertical="center" wrapText="1"/>
    </xf>
    <xf numFmtId="0" fontId="5" fillId="4" borderId="37" xfId="0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9" fillId="22" borderId="27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 wrapText="1"/>
    </xf>
    <xf numFmtId="0" fontId="9" fillId="20" borderId="36" xfId="0" applyFont="1" applyFill="1" applyBorder="1" applyAlignment="1">
      <alignment horizontal="center" vertical="center" wrapText="1"/>
    </xf>
    <xf numFmtId="0" fontId="9" fillId="20" borderId="38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5" fillId="12" borderId="27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0" fillId="12" borderId="27" xfId="0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18" fillId="19" borderId="27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6" fillId="0" borderId="27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1" fontId="10" fillId="15" borderId="39" xfId="0" applyNumberFormat="1" applyFont="1" applyFill="1" applyBorder="1" applyAlignment="1">
      <alignment horizontal="center" vertical="center"/>
    </xf>
    <xf numFmtId="1" fontId="10" fillId="15" borderId="26" xfId="0" applyNumberFormat="1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left" vertical="center" wrapText="1"/>
    </xf>
    <xf numFmtId="0" fontId="10" fillId="0" borderId="38" xfId="0" applyFont="1" applyBorder="1" applyAlignment="1">
      <alignment horizontal="left" vertical="center" wrapText="1"/>
    </xf>
    <xf numFmtId="0" fontId="10" fillId="0" borderId="37" xfId="0" applyFont="1" applyBorder="1" applyAlignment="1">
      <alignment horizontal="left" vertical="center" wrapText="1"/>
    </xf>
    <xf numFmtId="0" fontId="10" fillId="0" borderId="36" xfId="0" applyFont="1" applyBorder="1" applyAlignment="1">
      <alignment horizontal="left" vertical="center"/>
    </xf>
    <xf numFmtId="0" fontId="10" fillId="0" borderId="37" xfId="0" applyFont="1" applyBorder="1" applyAlignment="1">
      <alignment horizontal="left" vertical="center"/>
    </xf>
    <xf numFmtId="0" fontId="10" fillId="2" borderId="36" xfId="0" applyFont="1" applyFill="1" applyBorder="1" applyAlignment="1">
      <alignment horizontal="center" vertical="center" wrapText="1"/>
    </xf>
    <xf numFmtId="0" fontId="10" fillId="2" borderId="37" xfId="0" applyFont="1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1" fontId="10" fillId="0" borderId="36" xfId="0" applyNumberFormat="1" applyFont="1" applyBorder="1" applyAlignment="1">
      <alignment horizontal="center" vertical="center"/>
    </xf>
    <xf numFmtId="1" fontId="10" fillId="0" borderId="37" xfId="0" applyNumberFormat="1" applyFont="1" applyBorder="1" applyAlignment="1">
      <alignment horizontal="center" vertical="center"/>
    </xf>
    <xf numFmtId="0" fontId="0" fillId="9" borderId="36" xfId="0" applyFill="1" applyBorder="1" applyAlignment="1">
      <alignment horizontal="center" vertical="center" wrapText="1"/>
    </xf>
    <xf numFmtId="0" fontId="0" fillId="9" borderId="37" xfId="0" applyFill="1" applyBorder="1" applyAlignment="1">
      <alignment horizontal="center" vertical="center" wrapText="1"/>
    </xf>
    <xf numFmtId="1" fontId="10" fillId="9" borderId="36" xfId="0" applyNumberFormat="1" applyFont="1" applyFill="1" applyBorder="1" applyAlignment="1">
      <alignment horizontal="center" vertical="center"/>
    </xf>
    <xf numFmtId="1" fontId="10" fillId="9" borderId="37" xfId="0" applyNumberFormat="1" applyFont="1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 wrapText="1"/>
    </xf>
    <xf numFmtId="0" fontId="0" fillId="4" borderId="37" xfId="0" applyFill="1" applyBorder="1" applyAlignment="1">
      <alignment horizontal="center" vertical="center" wrapText="1"/>
    </xf>
    <xf numFmtId="1" fontId="10" fillId="4" borderId="36" xfId="0" applyNumberFormat="1" applyFont="1" applyFill="1" applyBorder="1" applyAlignment="1">
      <alignment horizontal="center" vertical="center"/>
    </xf>
    <xf numFmtId="1" fontId="10" fillId="4" borderId="37" xfId="0" applyNumberFormat="1" applyFont="1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 wrapText="1"/>
    </xf>
    <xf numFmtId="1" fontId="10" fillId="7" borderId="36" xfId="0" applyNumberFormat="1" applyFont="1" applyFill="1" applyBorder="1" applyAlignment="1">
      <alignment horizontal="center" vertical="center"/>
    </xf>
    <xf numFmtId="1" fontId="10" fillId="7" borderId="37" xfId="0" applyNumberFormat="1" applyFont="1" applyFill="1" applyBorder="1" applyAlignment="1">
      <alignment horizontal="center" vertical="center"/>
    </xf>
    <xf numFmtId="0" fontId="0" fillId="10" borderId="27" xfId="0" applyFill="1" applyBorder="1" applyAlignment="1">
      <alignment horizontal="center" vertical="center" wrapText="1"/>
    </xf>
    <xf numFmtId="1" fontId="10" fillId="10" borderId="36" xfId="0" applyNumberFormat="1" applyFont="1" applyFill="1" applyBorder="1" applyAlignment="1">
      <alignment horizontal="center" vertical="center"/>
    </xf>
    <xf numFmtId="1" fontId="10" fillId="10" borderId="37" xfId="0" applyNumberFormat="1" applyFont="1" applyFill="1" applyBorder="1" applyAlignment="1">
      <alignment horizontal="center" vertical="center"/>
    </xf>
    <xf numFmtId="1" fontId="10" fillId="16" borderId="36" xfId="0" applyNumberFormat="1" applyFont="1" applyFill="1" applyBorder="1" applyAlignment="1">
      <alignment horizontal="center" vertical="center"/>
    </xf>
    <xf numFmtId="1" fontId="10" fillId="16" borderId="37" xfId="0" applyNumberFormat="1" applyFont="1" applyFill="1" applyBorder="1" applyAlignment="1">
      <alignment horizontal="center" vertical="center"/>
    </xf>
    <xf numFmtId="0" fontId="15" fillId="11" borderId="27" xfId="0" applyFont="1" applyFill="1" applyBorder="1" applyAlignment="1">
      <alignment horizontal="center" vertical="center" wrapText="1"/>
    </xf>
    <xf numFmtId="1" fontId="10" fillId="11" borderId="36" xfId="0" applyNumberFormat="1" applyFont="1" applyFill="1" applyBorder="1" applyAlignment="1">
      <alignment horizontal="center" vertical="center"/>
    </xf>
    <xf numFmtId="1" fontId="10" fillId="11" borderId="37" xfId="0" applyNumberFormat="1" applyFont="1" applyFill="1" applyBorder="1" applyAlignment="1">
      <alignment horizontal="center" vertical="center"/>
    </xf>
    <xf numFmtId="0" fontId="15" fillId="12" borderId="27" xfId="0" applyFont="1" applyFill="1" applyBorder="1" applyAlignment="1">
      <alignment horizontal="center" vertical="center" wrapText="1"/>
    </xf>
    <xf numFmtId="1" fontId="10" fillId="12" borderId="36" xfId="0" applyNumberFormat="1" applyFont="1" applyFill="1" applyBorder="1" applyAlignment="1">
      <alignment horizontal="center" vertical="center"/>
    </xf>
    <xf numFmtId="1" fontId="10" fillId="12" borderId="37" xfId="0" applyNumberFormat="1" applyFont="1" applyFill="1" applyBorder="1" applyAlignment="1">
      <alignment horizontal="center" vertical="center"/>
    </xf>
    <xf numFmtId="0" fontId="13" fillId="12" borderId="27" xfId="0" applyFont="1" applyFill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/>
    </xf>
    <xf numFmtId="0" fontId="0" fillId="13" borderId="36" xfId="0" applyFill="1" applyBorder="1" applyAlignment="1">
      <alignment horizontal="center" vertical="center" wrapText="1"/>
    </xf>
    <xf numFmtId="0" fontId="0" fillId="13" borderId="37" xfId="0" applyFill="1" applyBorder="1" applyAlignment="1">
      <alignment horizontal="center" vertical="center" wrapText="1"/>
    </xf>
    <xf numFmtId="0" fontId="0" fillId="14" borderId="36" xfId="0" applyFill="1" applyBorder="1" applyAlignment="1">
      <alignment horizontal="center" vertical="center" wrapText="1"/>
    </xf>
    <xf numFmtId="0" fontId="0" fillId="14" borderId="37" xfId="0" applyFill="1" applyBorder="1" applyAlignment="1">
      <alignment horizontal="center" vertical="center" wrapText="1"/>
    </xf>
    <xf numFmtId="0" fontId="0" fillId="16" borderId="27" xfId="0" applyFill="1" applyBorder="1" applyAlignment="1">
      <alignment horizontal="center" vertical="center" wrapText="1"/>
    </xf>
    <xf numFmtId="0" fontId="13" fillId="17" borderId="27" xfId="0" applyFont="1" applyFill="1" applyBorder="1" applyAlignment="1">
      <alignment horizontal="center" vertical="center" wrapText="1"/>
    </xf>
    <xf numFmtId="0" fontId="13" fillId="11" borderId="27" xfId="0" applyFont="1" applyFill="1" applyBorder="1" applyAlignment="1">
      <alignment horizontal="center" vertical="center" wrapText="1"/>
    </xf>
    <xf numFmtId="0" fontId="15" fillId="12" borderId="36" xfId="0" applyFont="1" applyFill="1" applyBorder="1" applyAlignment="1">
      <alignment horizontal="center" vertical="center" wrapText="1"/>
    </xf>
    <xf numFmtId="0" fontId="15" fillId="12" borderId="37" xfId="0" applyFont="1" applyFill="1" applyBorder="1" applyAlignment="1">
      <alignment horizontal="center" vertical="center" wrapText="1"/>
    </xf>
    <xf numFmtId="0" fontId="15" fillId="11" borderId="36" xfId="0" applyFont="1" applyFill="1" applyBorder="1" applyAlignment="1">
      <alignment horizontal="center" vertical="center" wrapText="1"/>
    </xf>
    <xf numFmtId="0" fontId="15" fillId="11" borderId="37" xfId="0" applyFont="1" applyFill="1" applyBorder="1" applyAlignment="1">
      <alignment horizontal="center" vertical="center" wrapText="1"/>
    </xf>
    <xf numFmtId="0" fontId="13" fillId="12" borderId="36" xfId="0" applyFont="1" applyFill="1" applyBorder="1" applyAlignment="1">
      <alignment horizontal="center" vertical="center" wrapText="1"/>
    </xf>
    <xf numFmtId="0" fontId="13" fillId="12" borderId="3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3" fillId="11" borderId="36" xfId="0" applyFont="1" applyFill="1" applyBorder="1" applyAlignment="1">
      <alignment horizontal="center" vertical="center" wrapText="1"/>
    </xf>
    <xf numFmtId="0" fontId="13" fillId="11" borderId="3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" fontId="0" fillId="0" borderId="27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DATA%20BARU%20UNTUK%20APPS\DUN%20N12%20SULAMAN\DASHBOARD%20DUN%20N12%20SULAMAN.xlsx" TargetMode="External"/><Relationship Id="rId1" Type="http://schemas.openxmlformats.org/officeDocument/2006/relationships/externalLinkPath" Target="DUN%20N12%20SULAMAN/DASHBOARD%20DUN%20N12%20SULAMAN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cuments/Data%20Pengundi%202026A/DASHBOARD%20DUN%20N12%20SULAMAN.xlsx" TargetMode="External"/><Relationship Id="rId2" Type="http://schemas.openxmlformats.org/officeDocument/2006/relationships/externalLinkPath" Target="file:///C:\Users\user\Documents\Data%20Pengundi%202026A\DASHBOARD%20DUN%20N12%20SULAMAN.xlsx" TargetMode="External"/><Relationship Id="rId1" Type="http://schemas.openxmlformats.org/officeDocument/2006/relationships/externalLinkPath" Target="/Users/user/Documents/Data%20Pengundi%202026A/DASHBOARD%20DUN%20N12%20SULAMA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DATA%20BARU%20UNTUK%20APPS\DUN%20N13%20PANTAI%20DALIT\DASHBOARD%20DUN%20N13%20PANTAI%20DALIT.xlsx" TargetMode="External"/><Relationship Id="rId1" Type="http://schemas.openxmlformats.org/officeDocument/2006/relationships/externalLinkPath" Target="DUN%20N13%20PANTAI%20DALIT/DASHBOARD%20DUN%20N13%20PANTAI%20DALIT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cuments/Data%20Pengundi%202026A/DASHBOARD%20DUN%20N13%20PANTAI%20DALIT.xlsx" TargetMode="External"/><Relationship Id="rId2" Type="http://schemas.openxmlformats.org/officeDocument/2006/relationships/externalLinkPath" Target="file:///C:\Users\user\Documents\Data%20Pengundi%202026A\DASHBOARD%20DUN%20N13%20PANTAI%20DALIT.xlsx" TargetMode="External"/><Relationship Id="rId1" Type="http://schemas.openxmlformats.org/officeDocument/2006/relationships/externalLinkPath" Target="/Users/user/Documents/Data%20Pengundi%202026A/DASHBOARD%20DUN%20N13%20PANTAI%20DALIT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cuments/Data%20Pengundi%202026A/DASHBOARD%20DUN%20N14%20TAMPARULI.xlsx" TargetMode="External"/><Relationship Id="rId2" Type="http://schemas.openxmlformats.org/officeDocument/2006/relationships/externalLinkPath" Target="file:///C:\Users\user\Documents\Data%20Pengundi%202026A\DASHBOARD%20DUN%20N14%20TAMPARULI.xlsx" TargetMode="External"/><Relationship Id="rId1" Type="http://schemas.openxmlformats.org/officeDocument/2006/relationships/externalLinkPath" Target="/Users/user/Documents/Data%20Pengundi%202026A/DASHBOARD%20DUN%20N14%20TAMPARULI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cuments/Data%20Pengundi%202026A/DASHBOARD%20DUN%20N15%20KIULU.xlsx" TargetMode="External"/><Relationship Id="rId2" Type="http://schemas.openxmlformats.org/officeDocument/2006/relationships/externalLinkPath" Target="file:///C:\Users\user\Documents\Data%20Pengundi%202026A\DASHBOARD%20DUN%20N15%20KIULU.xlsx" TargetMode="External"/><Relationship Id="rId1" Type="http://schemas.openxmlformats.org/officeDocument/2006/relationships/externalLinkPath" Target="/Users/user/Documents/Data%20Pengundi%202026A/DASHBOARD%20DUN%20N15%20KIULU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DATA%20BARU%20UNTUK%20APPS\DUN%20N15%20KIULU\DASHBOARD%20DUN%20N15%20KIULU.xlsx" TargetMode="External"/><Relationship Id="rId1" Type="http://schemas.openxmlformats.org/officeDocument/2006/relationships/externalLinkPath" Target="DUN%20N15%20KIULU/DASHBOARD%20DUN%20N15%20KIUL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DATA%20BARU%20UNTUK%20APPS\DUN%20N14%20TAMPARULI\DASHBOARD%20DUN%20N14%20TAMPARULI.xlsx" TargetMode="External"/><Relationship Id="rId1" Type="http://schemas.openxmlformats.org/officeDocument/2006/relationships/externalLinkPath" Target="DUN%20N14%20TAMPARULI/DASHBOARD%20DUN%20N14%20TAMPARUL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 SULAMAN"/>
      <sheetName val="PRU"/>
      <sheetName val="KPI JINIK"/>
      <sheetName val="KPI AMANDUS"/>
      <sheetName val="KPI LOMITI"/>
      <sheetName val="KPI JAINYSIUS"/>
      <sheetName val="KPI RAYNER"/>
      <sheetName val="JADUAL"/>
    </sheetNames>
    <sheetDataSet>
      <sheetData sheetId="0">
        <row r="12">
          <cell r="C12">
            <v>18244</v>
          </cell>
          <cell r="I12">
            <v>1</v>
          </cell>
          <cell r="J12">
            <v>6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 SULAMAN"/>
      <sheetName val="PRU"/>
      <sheetName val="KPI JINIK"/>
      <sheetName val="KPI AMANDUS"/>
      <sheetName val="KPI LOMITI"/>
      <sheetName val="KPI JAINYSIUS"/>
      <sheetName val="KPI RAYNER"/>
      <sheetName val="TIKTORKER"/>
      <sheetName val="JADUAL"/>
    </sheetNames>
    <sheetDataSet>
      <sheetData sheetId="0">
        <row r="12">
          <cell r="E12">
            <v>2703</v>
          </cell>
          <cell r="G12">
            <v>2780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 PANTAI DALIT"/>
      <sheetName val="PRU"/>
      <sheetName val="KPI JINIK"/>
      <sheetName val="KPI AMANDUS"/>
      <sheetName val="KPI LOMITI"/>
      <sheetName val="KPI JAINYSIUS"/>
      <sheetName val="KPI RAYNER"/>
      <sheetName val="TIKTORKER"/>
      <sheetName val="JADUAL"/>
    </sheetNames>
    <sheetDataSet>
      <sheetData sheetId="0">
        <row r="12">
          <cell r="C12">
            <v>26152</v>
          </cell>
          <cell r="I12">
            <v>0</v>
          </cell>
          <cell r="J12">
            <v>13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 PANTAI DALIT"/>
      <sheetName val="PRU"/>
      <sheetName val="KPI JINIK"/>
      <sheetName val="KPI AMANDUS"/>
      <sheetName val="KPI LOMITI"/>
      <sheetName val="KPI JAINYSIUS"/>
      <sheetName val="KPI RAYNER"/>
      <sheetName val="TIKTORKER"/>
      <sheetName val="JADUAL"/>
    </sheetNames>
    <sheetDataSet>
      <sheetData sheetId="0">
        <row r="12">
          <cell r="G12">
            <v>5350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 TAMPARULI"/>
      <sheetName val="KPI JINIK"/>
      <sheetName val="KPI AMANDUS"/>
      <sheetName val="KPI LOMITI"/>
      <sheetName val="KPI JAINYSIUS"/>
      <sheetName val="KPI RAYNER"/>
      <sheetName val="TIKTORKER"/>
      <sheetName val="JADUAL"/>
    </sheetNames>
    <sheetDataSet>
      <sheetData sheetId="0">
        <row r="17">
          <cell r="E17">
            <v>9952</v>
          </cell>
          <cell r="F17">
            <v>8247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 KIULU"/>
      <sheetName val="PRN"/>
      <sheetName val="KPI JINIK"/>
      <sheetName val="JAINYSIUS"/>
      <sheetName val="RAYNER "/>
      <sheetName val="AMANDUS"/>
    </sheetNames>
    <sheetDataSet>
      <sheetData sheetId="0">
        <row r="21">
          <cell r="H21">
            <v>9012.15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 KIULU"/>
      <sheetName val="PRN"/>
      <sheetName val="KPI JINIK"/>
      <sheetName val="JAINYSIUS"/>
      <sheetName val="RAYNER "/>
      <sheetName val="AMANDUS"/>
    </sheetNames>
    <sheetDataSet>
      <sheetData sheetId="0">
        <row r="21">
          <cell r="C21">
            <v>17166</v>
          </cell>
          <cell r="J21">
            <v>15</v>
          </cell>
          <cell r="K21">
            <v>100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 TAMPARULI"/>
      <sheetName val="KPI JINIK"/>
      <sheetName val="KPI AMANDUS"/>
      <sheetName val="KPI LOMITI"/>
      <sheetName val="KPI JAINYSIUS"/>
      <sheetName val="KPI RAYNER"/>
      <sheetName val="TIKTORKER"/>
      <sheetName val="JADUAL"/>
    </sheetNames>
    <sheetDataSet>
      <sheetData sheetId="0">
        <row r="17">
          <cell r="C17">
            <v>26815</v>
          </cell>
          <cell r="I17">
            <v>9</v>
          </cell>
          <cell r="J17">
            <v>159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kanildayou088@outlook.com" id="{24B99BD2-792B-432E-8B5B-3E720B67FFC1}" userId="b3e12d8d1db8f968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6-05-05T03:10:10.59" personId="{24B99BD2-792B-432E-8B5B-3E720B67FFC1}" id="{ECE3EE75-24BF-4644-8357-6CE4F763D168}">
    <text>Datuk Alijus Calon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abSelected="1" zoomScale="90" zoomScaleNormal="90" workbookViewId="0">
      <pane ySplit="1" topLeftCell="A2" activePane="bottomLeft" state="frozen"/>
      <selection pane="bottomLeft" activeCell="N20" sqref="N20"/>
    </sheetView>
  </sheetViews>
  <sheetFormatPr defaultColWidth="9" defaultRowHeight="14.4"/>
  <cols>
    <col min="1" max="1" width="10.88671875" customWidth="1"/>
    <col min="2" max="2" width="23.5546875" customWidth="1"/>
    <col min="3" max="3" width="11.44140625" customWidth="1"/>
    <col min="4" max="4" width="15" customWidth="1"/>
    <col min="5" max="5" width="11.6640625" customWidth="1"/>
    <col min="6" max="6" width="9.5546875" customWidth="1"/>
    <col min="7" max="7" width="9.88671875" customWidth="1"/>
    <col min="8" max="8" width="9.88671875" hidden="1" customWidth="1"/>
    <col min="9" max="9" width="12" customWidth="1"/>
    <col min="10" max="10" width="12.109375" customWidth="1"/>
    <col min="11" max="11" width="9.44140625" style="1" customWidth="1"/>
    <col min="12" max="13" width="6.5546875" customWidth="1"/>
    <col min="14" max="14" width="8.44140625" customWidth="1"/>
    <col min="15" max="15" width="10" customWidth="1"/>
    <col min="16" max="16" width="9.109375" style="1"/>
    <col min="17" max="18" width="7.33203125" style="1" customWidth="1"/>
    <col min="19" max="19" width="11.44140625" style="1" customWidth="1"/>
  </cols>
  <sheetData>
    <row r="1" spans="1:21" ht="30.75" customHeight="1">
      <c r="A1" s="142" t="s">
        <v>0</v>
      </c>
      <c r="B1" s="143"/>
      <c r="C1" s="143"/>
    </row>
    <row r="3" spans="1:21" ht="26.25" customHeight="1">
      <c r="A3" s="167" t="s">
        <v>1</v>
      </c>
      <c r="B3" s="170" t="s">
        <v>2</v>
      </c>
      <c r="C3" s="160" t="s">
        <v>3</v>
      </c>
      <c r="D3" s="160" t="s">
        <v>4</v>
      </c>
      <c r="E3" s="172" t="s">
        <v>5</v>
      </c>
      <c r="F3" s="173"/>
      <c r="G3" s="160" t="s">
        <v>6</v>
      </c>
      <c r="H3" s="144"/>
      <c r="I3" s="161" t="s">
        <v>7</v>
      </c>
      <c r="J3" s="163" t="s">
        <v>8</v>
      </c>
      <c r="K3" s="165" t="s">
        <v>9</v>
      </c>
      <c r="L3" s="175" t="s">
        <v>10</v>
      </c>
      <c r="M3" s="176" t="s">
        <v>11</v>
      </c>
      <c r="N3" s="160" t="s">
        <v>12</v>
      </c>
      <c r="O3" s="160" t="s">
        <v>13</v>
      </c>
      <c r="P3" s="171" t="s">
        <v>14</v>
      </c>
      <c r="Q3" s="174" t="s">
        <v>15</v>
      </c>
      <c r="R3" s="174"/>
      <c r="S3" s="174"/>
    </row>
    <row r="4" spans="1:21" ht="21.75" customHeight="1">
      <c r="A4" s="167"/>
      <c r="B4" s="170"/>
      <c r="C4" s="160"/>
      <c r="D4" s="160"/>
      <c r="E4" s="102" t="s">
        <v>16</v>
      </c>
      <c r="F4" s="102" t="s">
        <v>17</v>
      </c>
      <c r="G4" s="160"/>
      <c r="H4" s="145"/>
      <c r="I4" s="162"/>
      <c r="J4" s="164"/>
      <c r="K4" s="165"/>
      <c r="L4" s="175"/>
      <c r="M4" s="176"/>
      <c r="N4" s="160"/>
      <c r="O4" s="160"/>
      <c r="P4" s="171"/>
      <c r="Q4" s="114" t="s">
        <v>18</v>
      </c>
      <c r="R4" s="114" t="s">
        <v>19</v>
      </c>
      <c r="S4" s="114" t="s">
        <v>20</v>
      </c>
    </row>
    <row r="5" spans="1:21">
      <c r="A5" s="168" t="s">
        <v>21</v>
      </c>
      <c r="B5" s="97" t="s">
        <v>22</v>
      </c>
      <c r="C5" s="96">
        <f>SUM('[1]DASHBOARD SULAMAN'!$C$12)</f>
        <v>18244</v>
      </c>
      <c r="D5" s="146">
        <f>SUM(C5*75/100)</f>
        <v>13683</v>
      </c>
      <c r="E5" s="146">
        <f>SUM('[2]DASHBOARD SULAMAN'!$E$12)</f>
        <v>2703</v>
      </c>
      <c r="F5" s="146"/>
      <c r="G5" s="159">
        <f>SUM('[2]DASHBOARD SULAMAN'!$G$12)</f>
        <v>2780</v>
      </c>
      <c r="H5" s="146">
        <v>2703</v>
      </c>
      <c r="I5" s="147">
        <f>SUM(G5/13)</f>
        <v>213.84615384615384</v>
      </c>
      <c r="J5" s="148">
        <f>SUM('[1]DASHBOARD SULAMAN'!$I$12)</f>
        <v>1</v>
      </c>
      <c r="K5" s="146">
        <f>SUM('[1]DASHBOARD SULAMAN'!$J$12)</f>
        <v>6</v>
      </c>
      <c r="L5" s="146">
        <f>SUM('[1]DASHBOARD SULAMAN'!$K$12)</f>
        <v>0</v>
      </c>
      <c r="M5" s="146">
        <f>SUM('[1]DASHBOARD SULAMAN'!$L$12)</f>
        <v>0</v>
      </c>
      <c r="N5" s="146">
        <f>SUM('[1]DASHBOARD SULAMAN'!$M$12)</f>
        <v>0</v>
      </c>
      <c r="O5" s="146">
        <f>SUM('[1]DASHBOARD SULAMAN'!$N$12)</f>
        <v>0</v>
      </c>
      <c r="P5" s="146">
        <f>SUM('[1]DASHBOARD SULAMAN'!$O$12)</f>
        <v>0</v>
      </c>
      <c r="Q5" s="149">
        <v>126</v>
      </c>
      <c r="R5" s="149">
        <v>180</v>
      </c>
      <c r="S5" s="96">
        <v>183</v>
      </c>
    </row>
    <row r="6" spans="1:21">
      <c r="A6" s="169"/>
      <c r="B6" s="97" t="s">
        <v>23</v>
      </c>
      <c r="C6" s="96">
        <f>SUM('[3]DASHBOARD PANTAI DALIT'!$C$12)</f>
        <v>26152</v>
      </c>
      <c r="D6" s="146">
        <f>SUM(C6*75/100)</f>
        <v>19614</v>
      </c>
      <c r="E6" s="146">
        <f>SUM(PRU!B19)</f>
        <v>5009</v>
      </c>
      <c r="F6" s="146"/>
      <c r="G6" s="159">
        <f>SUM('[4]DASHBOARD PANTAI DALIT'!$G$12)</f>
        <v>5350</v>
      </c>
      <c r="H6" s="146">
        <v>5009</v>
      </c>
      <c r="I6" s="147">
        <f>SUM(G6/13)</f>
        <v>411.53846153846155</v>
      </c>
      <c r="J6" s="148">
        <f>SUM('[3]DASHBOARD PANTAI DALIT'!$I$12)</f>
        <v>0</v>
      </c>
      <c r="K6" s="146">
        <f>SUM('[3]DASHBOARD PANTAI DALIT'!$J$12)</f>
        <v>13</v>
      </c>
      <c r="L6" s="146">
        <f>SUM('[3]DASHBOARD PANTAI DALIT'!$K$12)</f>
        <v>0</v>
      </c>
      <c r="M6" s="146">
        <f>SUM('[3]DASHBOARD PANTAI DALIT'!$L$12)</f>
        <v>0</v>
      </c>
      <c r="N6" s="146">
        <f>SUM('[3]DASHBOARD PANTAI DALIT'!$M$12)</f>
        <v>0</v>
      </c>
      <c r="O6" s="146">
        <f>SUM('[3]DASHBOARD PANTAI DALIT'!$N$12)</f>
        <v>0</v>
      </c>
      <c r="P6" s="146">
        <f>SUM('[3]DASHBOARD PANTAI DALIT'!$O$12)</f>
        <v>0</v>
      </c>
      <c r="Q6" s="149">
        <v>0</v>
      </c>
      <c r="R6" s="149">
        <v>238</v>
      </c>
      <c r="S6" s="96">
        <v>326</v>
      </c>
    </row>
    <row r="7" spans="1:21">
      <c r="A7" s="169"/>
      <c r="B7" s="97" t="s">
        <v>24</v>
      </c>
      <c r="C7" s="96">
        <f>SUM('[8]DASHBOARD TAMPARULI'!$C$17)</f>
        <v>26815</v>
      </c>
      <c r="D7" s="146">
        <f>SUM(C7*75/100)</f>
        <v>20111.25</v>
      </c>
      <c r="E7" s="146">
        <f>SUM('[5]DASHBOARD TAMPARULI'!$E$17)</f>
        <v>9952</v>
      </c>
      <c r="F7" s="146">
        <f>SUM('[5]DASHBOARD TAMPARULI'!$F$17)</f>
        <v>8247</v>
      </c>
      <c r="G7" s="159">
        <f>SUM(C7)</f>
        <v>26815</v>
      </c>
      <c r="H7" s="146">
        <v>10992</v>
      </c>
      <c r="I7" s="147">
        <f>SUM(G7/13)</f>
        <v>2062.6923076923076</v>
      </c>
      <c r="J7" s="148">
        <f>SUM('[8]DASHBOARD TAMPARULI'!$I$17)</f>
        <v>9</v>
      </c>
      <c r="K7" s="146">
        <f>SUM('[8]DASHBOARD TAMPARULI'!$J$17)</f>
        <v>159</v>
      </c>
      <c r="L7" s="146">
        <f>SUM('[8]DASHBOARD TAMPARULI'!$K$17)</f>
        <v>0</v>
      </c>
      <c r="M7" s="146">
        <f>SUM('[8]DASHBOARD TAMPARULI'!$L$17)</f>
        <v>1</v>
      </c>
      <c r="N7" s="146">
        <f>SUM('[8]DASHBOARD TAMPARULI'!$M$17)</f>
        <v>0</v>
      </c>
      <c r="O7" s="146">
        <f>SUM('[8]DASHBOARD TAMPARULI'!$N$17)</f>
        <v>0</v>
      </c>
      <c r="P7" s="146">
        <f>SUM('[8]DASHBOARD TAMPARULI'!$O$17)</f>
        <v>1</v>
      </c>
      <c r="Q7" s="151">
        <v>6873</v>
      </c>
      <c r="R7" s="151">
        <v>8784</v>
      </c>
      <c r="S7" s="146">
        <v>10646</v>
      </c>
      <c r="U7" s="152"/>
    </row>
    <row r="8" spans="1:21">
      <c r="A8" s="169"/>
      <c r="B8" s="97" t="s">
        <v>25</v>
      </c>
      <c r="C8" s="96">
        <f>SUM('[7]DASHBOARD KIULU'!$C$21)</f>
        <v>17166</v>
      </c>
      <c r="D8" s="146">
        <f>SUM(C8*75/100)</f>
        <v>12874.5</v>
      </c>
      <c r="E8" s="146">
        <f>SUM(PRU!I18)</f>
        <v>6899</v>
      </c>
      <c r="F8" s="146">
        <f>SUM(PRN!I19)</f>
        <v>2736</v>
      </c>
      <c r="G8" s="159">
        <f>SUM('[6]DASHBOARD KIULU'!$H$21)</f>
        <v>9012.15</v>
      </c>
      <c r="H8" s="146">
        <v>7081</v>
      </c>
      <c r="I8" s="147">
        <f>SUM(G8/13)</f>
        <v>693.24230769230769</v>
      </c>
      <c r="J8" s="148">
        <f>SUM('[7]DASHBOARD KIULU'!$J$21)</f>
        <v>15</v>
      </c>
      <c r="K8" s="283">
        <f>SUM('[7]DASHBOARD KIULU'!$K$21)</f>
        <v>100</v>
      </c>
      <c r="L8" s="283">
        <f>SUM('[7]DASHBOARD KIULU'!$L$21)</f>
        <v>0</v>
      </c>
      <c r="M8" s="283">
        <f>SUM('[7]DASHBOARD KIULU'!$M$21)</f>
        <v>0</v>
      </c>
      <c r="N8" s="283">
        <f>SUM('[7]DASHBOARD KIULU'!$N$21)</f>
        <v>0</v>
      </c>
      <c r="O8" s="283">
        <f>SUM('[7]DASHBOARD KIULU'!$O$21)</f>
        <v>0</v>
      </c>
      <c r="P8" s="283">
        <f>SUM('[7]DASHBOARD KIULU'!$P$21)</f>
        <v>5</v>
      </c>
      <c r="Q8" s="151">
        <v>117</v>
      </c>
      <c r="R8" s="151">
        <v>4209</v>
      </c>
      <c r="S8" s="146">
        <v>5482</v>
      </c>
      <c r="U8" s="152"/>
    </row>
    <row r="9" spans="1:21">
      <c r="A9" s="150"/>
      <c r="B9" s="97" t="s">
        <v>26</v>
      </c>
      <c r="C9" s="96">
        <v>1440</v>
      </c>
      <c r="D9" s="146"/>
      <c r="E9" s="146">
        <v>398</v>
      </c>
      <c r="F9" s="146">
        <v>192</v>
      </c>
      <c r="G9" s="159">
        <v>350</v>
      </c>
      <c r="H9" s="146">
        <v>400</v>
      </c>
      <c r="I9" s="147"/>
      <c r="J9" s="148"/>
      <c r="K9" s="146"/>
      <c r="L9" s="146"/>
      <c r="M9" s="146"/>
      <c r="N9" s="146"/>
      <c r="O9" s="146"/>
      <c r="P9" s="146"/>
      <c r="Q9" s="151"/>
      <c r="R9" s="151"/>
      <c r="S9" s="146"/>
      <c r="U9" s="152"/>
    </row>
    <row r="10" spans="1:21" ht="24.75" customHeight="1">
      <c r="A10" s="166" t="s">
        <v>27</v>
      </c>
      <c r="B10" s="166"/>
      <c r="C10" s="153">
        <f t="shared" ref="C10:O10" si="0">SUM(C5:C8)</f>
        <v>88377</v>
      </c>
      <c r="D10" s="154">
        <f t="shared" si="0"/>
        <v>66282.75</v>
      </c>
      <c r="E10" s="154">
        <f>SUM(E5:E9)</f>
        <v>24961</v>
      </c>
      <c r="F10" s="154">
        <f>SUM(F5:F9)</f>
        <v>11175</v>
      </c>
      <c r="G10" s="154">
        <f>SUM(G5:G8)</f>
        <v>43957.15</v>
      </c>
      <c r="H10" s="154">
        <f>SUM(H5:H9)</f>
        <v>26185</v>
      </c>
      <c r="I10" s="155">
        <f t="shared" si="0"/>
        <v>3381.3192307692307</v>
      </c>
      <c r="J10" s="156">
        <f t="shared" si="0"/>
        <v>25</v>
      </c>
      <c r="K10" s="154">
        <f t="shared" si="0"/>
        <v>278</v>
      </c>
      <c r="L10" s="154">
        <f t="shared" si="0"/>
        <v>0</v>
      </c>
      <c r="M10" s="154">
        <f t="shared" si="0"/>
        <v>1</v>
      </c>
      <c r="N10" s="154">
        <f t="shared" si="0"/>
        <v>0</v>
      </c>
      <c r="O10" s="154">
        <f t="shared" si="0"/>
        <v>0</v>
      </c>
      <c r="P10" s="154">
        <v>17</v>
      </c>
      <c r="Q10" s="154">
        <f>SUM(Q5:Q8)</f>
        <v>7116</v>
      </c>
      <c r="R10" s="154">
        <f>SUM(R5:R8)</f>
        <v>13411</v>
      </c>
      <c r="S10" s="154">
        <f>SUM(S5:S8)</f>
        <v>16637</v>
      </c>
      <c r="U10" s="152"/>
    </row>
  </sheetData>
  <mergeCells count="17">
    <mergeCell ref="N3:N4"/>
    <mergeCell ref="O3:O4"/>
    <mergeCell ref="P3:P4"/>
    <mergeCell ref="E3:F3"/>
    <mergeCell ref="Q3:S3"/>
    <mergeCell ref="L3:L4"/>
    <mergeCell ref="M3:M4"/>
    <mergeCell ref="A10:B10"/>
    <mergeCell ref="A3:A4"/>
    <mergeCell ref="A5:A8"/>
    <mergeCell ref="B3:B4"/>
    <mergeCell ref="C3:C4"/>
    <mergeCell ref="D3:D4"/>
    <mergeCell ref="G3:G4"/>
    <mergeCell ref="I3:I4"/>
    <mergeCell ref="J3:J4"/>
    <mergeCell ref="K3:K4"/>
  </mergeCells>
  <pageMargins left="0.7" right="0.7" top="0.75" bottom="0.75" header="0.3" footer="0.3"/>
  <pageSetup scale="66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F2658-90DD-4FE2-A333-E924DBFB577C}">
  <dimension ref="A1:I21"/>
  <sheetViews>
    <sheetView workbookViewId="0">
      <selection activeCell="F33" sqref="F33"/>
    </sheetView>
  </sheetViews>
  <sheetFormatPr defaultRowHeight="14.4"/>
  <cols>
    <col min="1" max="1" width="14.109375" customWidth="1"/>
    <col min="5" max="5" width="12.77734375" customWidth="1"/>
    <col min="8" max="8" width="17.33203125" customWidth="1"/>
  </cols>
  <sheetData>
    <row r="1" spans="1:9">
      <c r="A1" t="s">
        <v>366</v>
      </c>
    </row>
    <row r="3" spans="1:9">
      <c r="A3" t="s">
        <v>367</v>
      </c>
      <c r="B3">
        <f>24+29+19</f>
        <v>72</v>
      </c>
      <c r="E3" t="s">
        <v>368</v>
      </c>
      <c r="F3">
        <f>110+195+236+165+158+170+147</f>
        <v>1181</v>
      </c>
      <c r="H3" t="s">
        <v>369</v>
      </c>
      <c r="I3">
        <f>165+175+150</f>
        <v>490</v>
      </c>
    </row>
    <row r="4" spans="1:9">
      <c r="A4" t="s">
        <v>370</v>
      </c>
      <c r="B4">
        <f>32+35+21</f>
        <v>88</v>
      </c>
      <c r="E4" t="s">
        <v>371</v>
      </c>
      <c r="F4">
        <f>196+234+239+217+209</f>
        <v>1095</v>
      </c>
      <c r="H4" t="s">
        <v>372</v>
      </c>
      <c r="I4">
        <f>159+197+229+233+192+199+262+225</f>
        <v>1696</v>
      </c>
    </row>
    <row r="5" spans="1:9">
      <c r="A5" t="s">
        <v>373</v>
      </c>
      <c r="B5">
        <f>153+163+31+36+112+123+118+32+31</f>
        <v>799</v>
      </c>
      <c r="E5" t="s">
        <v>374</v>
      </c>
      <c r="F5">
        <f>169+149+151</f>
        <v>469</v>
      </c>
      <c r="H5" t="s">
        <v>375</v>
      </c>
      <c r="I5">
        <f>123+159+152</f>
        <v>434</v>
      </c>
    </row>
    <row r="6" spans="1:9">
      <c r="A6" t="s">
        <v>376</v>
      </c>
      <c r="B6">
        <f>47+76+47+60</f>
        <v>230</v>
      </c>
      <c r="E6" t="s">
        <v>377</v>
      </c>
      <c r="F6">
        <f>172+184+204+182</f>
        <v>742</v>
      </c>
      <c r="H6" t="s">
        <v>378</v>
      </c>
      <c r="I6">
        <f>211+256</f>
        <v>467</v>
      </c>
    </row>
    <row r="7" spans="1:9">
      <c r="A7" t="s">
        <v>379</v>
      </c>
      <c r="B7">
        <f>155+185+195+185</f>
        <v>720</v>
      </c>
      <c r="E7" t="s">
        <v>380</v>
      </c>
      <c r="F7">
        <f>199+189+145+151</f>
        <v>684</v>
      </c>
      <c r="H7" t="s">
        <v>381</v>
      </c>
      <c r="I7">
        <f>172+165+63</f>
        <v>400</v>
      </c>
    </row>
    <row r="8" spans="1:9">
      <c r="A8" t="s">
        <v>382</v>
      </c>
      <c r="B8">
        <f>42+57+65+85+75+55+75+64+47+70+72</f>
        <v>707</v>
      </c>
      <c r="E8" t="s">
        <v>383</v>
      </c>
      <c r="F8">
        <f>106+158+197+184+195</f>
        <v>840</v>
      </c>
      <c r="H8" t="s">
        <v>384</v>
      </c>
      <c r="I8">
        <f>113+101</f>
        <v>214</v>
      </c>
    </row>
    <row r="9" spans="1:9">
      <c r="A9" t="s">
        <v>385</v>
      </c>
      <c r="B9">
        <f>40+29</f>
        <v>69</v>
      </c>
      <c r="E9" t="s">
        <v>386</v>
      </c>
      <c r="F9">
        <f>212+227+267+239+173+183+203+213+202</f>
        <v>1919</v>
      </c>
      <c r="H9" t="s">
        <v>387</v>
      </c>
      <c r="I9">
        <f>141+138+104</f>
        <v>383</v>
      </c>
    </row>
    <row r="10" spans="1:9">
      <c r="B10">
        <f>SUM(B3:B9)</f>
        <v>2685</v>
      </c>
      <c r="E10" t="s">
        <v>388</v>
      </c>
      <c r="F10">
        <f>179+187+198+220+174+205+175+190</f>
        <v>1528</v>
      </c>
      <c r="H10" t="s">
        <v>389</v>
      </c>
      <c r="I10">
        <f>62+66</f>
        <v>128</v>
      </c>
    </row>
    <row r="11" spans="1:9">
      <c r="E11" t="s">
        <v>390</v>
      </c>
      <c r="F11">
        <f>184+169</f>
        <v>353</v>
      </c>
      <c r="H11" t="s">
        <v>391</v>
      </c>
      <c r="I11">
        <f>215+224+195</f>
        <v>634</v>
      </c>
    </row>
    <row r="12" spans="1:9">
      <c r="A12" t="s">
        <v>392</v>
      </c>
      <c r="B12">
        <f>156+213+169+142+132+150+145</f>
        <v>1107</v>
      </c>
      <c r="E12" t="s">
        <v>393</v>
      </c>
      <c r="F12">
        <f>106+92</f>
        <v>198</v>
      </c>
      <c r="H12" t="s">
        <v>394</v>
      </c>
      <c r="I12">
        <f>123+135+119</f>
        <v>377</v>
      </c>
    </row>
    <row r="13" spans="1:9">
      <c r="A13" t="s">
        <v>395</v>
      </c>
      <c r="B13">
        <f>154+211+224+219+213</f>
        <v>1021</v>
      </c>
      <c r="E13" t="s">
        <v>396</v>
      </c>
      <c r="F13">
        <f>172+216+292+263</f>
        <v>943</v>
      </c>
      <c r="H13" t="s">
        <v>397</v>
      </c>
      <c r="I13">
        <f>163+190+178</f>
        <v>531</v>
      </c>
    </row>
    <row r="14" spans="1:9">
      <c r="A14" t="s">
        <v>398</v>
      </c>
      <c r="B14">
        <f>35+61+75+86+92+85+88</f>
        <v>522</v>
      </c>
      <c r="F14">
        <f>SUM(F3:F13)</f>
        <v>9952</v>
      </c>
      <c r="H14" t="s">
        <v>399</v>
      </c>
      <c r="I14">
        <f>174+240+217</f>
        <v>631</v>
      </c>
    </row>
    <row r="15" spans="1:9">
      <c r="A15" t="s">
        <v>400</v>
      </c>
      <c r="B15">
        <f>74+95+129+105+110+119+107</f>
        <v>739</v>
      </c>
      <c r="H15" t="s">
        <v>401</v>
      </c>
      <c r="I15">
        <f>89</f>
        <v>89</v>
      </c>
    </row>
    <row r="16" spans="1:9">
      <c r="A16" t="s">
        <v>402</v>
      </c>
      <c r="B16">
        <f>37+61+45</f>
        <v>143</v>
      </c>
      <c r="H16" t="s">
        <v>403</v>
      </c>
      <c r="I16">
        <f>182+180</f>
        <v>362</v>
      </c>
    </row>
    <row r="17" spans="1:9">
      <c r="A17" t="s">
        <v>404</v>
      </c>
      <c r="B17">
        <f>43+68+109+109+97+90</f>
        <v>516</v>
      </c>
      <c r="H17" t="s">
        <v>405</v>
      </c>
      <c r="I17">
        <v>63</v>
      </c>
    </row>
    <row r="18" spans="1:9">
      <c r="A18" t="s">
        <v>406</v>
      </c>
      <c r="B18">
        <f>90+119+124+99+116+125+68+60+70+90</f>
        <v>961</v>
      </c>
      <c r="I18">
        <f>SUM(I3:I17)</f>
        <v>6899</v>
      </c>
    </row>
    <row r="19" spans="1:9">
      <c r="B19">
        <f>SUM(B12:B18)</f>
        <v>5009</v>
      </c>
    </row>
    <row r="21" spans="1:9">
      <c r="I21">
        <f>SUM(B10+B19+F14+I18)</f>
        <v>24545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2208D-1C10-4D02-8C4A-92930CF412FA}">
  <dimension ref="A1:I19"/>
  <sheetViews>
    <sheetView workbookViewId="0">
      <selection activeCell="F1" sqref="F1:I20"/>
    </sheetView>
  </sheetViews>
  <sheetFormatPr defaultRowHeight="14.4"/>
  <cols>
    <col min="1" max="1" width="12.77734375" customWidth="1"/>
    <col min="6" max="6" width="17.33203125" customWidth="1"/>
  </cols>
  <sheetData>
    <row r="1" spans="1:9">
      <c r="A1" t="s">
        <v>407</v>
      </c>
      <c r="F1" t="s">
        <v>91</v>
      </c>
    </row>
    <row r="2" spans="1:9" ht="28.8">
      <c r="B2" s="158" t="s">
        <v>408</v>
      </c>
      <c r="C2" s="157" t="s">
        <v>410</v>
      </c>
      <c r="D2" s="158" t="s">
        <v>409</v>
      </c>
      <c r="G2" s="158" t="s">
        <v>408</v>
      </c>
      <c r="H2" s="157" t="s">
        <v>410</v>
      </c>
      <c r="I2" s="158" t="s">
        <v>409</v>
      </c>
    </row>
    <row r="3" spans="1:9">
      <c r="A3" t="s">
        <v>368</v>
      </c>
      <c r="B3" s="1">
        <f>110+195+236+165+158+170+147</f>
        <v>1181</v>
      </c>
      <c r="C3" s="1">
        <f>31+52+59+62+54+49</f>
        <v>307</v>
      </c>
      <c r="D3" s="93">
        <v>1026</v>
      </c>
      <c r="F3" t="s">
        <v>369</v>
      </c>
      <c r="G3">
        <f>165+175+150</f>
        <v>490</v>
      </c>
      <c r="H3">
        <f>66+100</f>
        <v>166</v>
      </c>
      <c r="I3">
        <v>222</v>
      </c>
    </row>
    <row r="4" spans="1:9">
      <c r="A4" t="s">
        <v>371</v>
      </c>
      <c r="B4" s="1">
        <f>196+234+239+217+209</f>
        <v>1095</v>
      </c>
      <c r="C4" s="1">
        <f>57+66+65+39</f>
        <v>227</v>
      </c>
      <c r="D4" s="93">
        <v>949</v>
      </c>
      <c r="F4" t="s">
        <v>372</v>
      </c>
      <c r="G4">
        <f>159+197+229+233+192+199+262+225</f>
        <v>1696</v>
      </c>
      <c r="H4">
        <f>58+111+128+122+120+99</f>
        <v>638</v>
      </c>
      <c r="I4">
        <v>585</v>
      </c>
    </row>
    <row r="5" spans="1:9">
      <c r="A5" t="s">
        <v>374</v>
      </c>
      <c r="B5" s="1">
        <f>169+149+151</f>
        <v>469</v>
      </c>
      <c r="C5" s="1">
        <f>79+53</f>
        <v>132</v>
      </c>
      <c r="D5" s="93">
        <v>390</v>
      </c>
      <c r="F5" t="s">
        <v>375</v>
      </c>
      <c r="G5">
        <f>123+159+152</f>
        <v>434</v>
      </c>
      <c r="H5">
        <f>78+115</f>
        <v>193</v>
      </c>
      <c r="I5">
        <v>127</v>
      </c>
    </row>
    <row r="6" spans="1:9">
      <c r="A6" t="s">
        <v>377</v>
      </c>
      <c r="B6" s="1">
        <f>172+184+204+182</f>
        <v>742</v>
      </c>
      <c r="C6" s="1">
        <f>35+58+55</f>
        <v>148</v>
      </c>
      <c r="D6" s="93">
        <v>749</v>
      </c>
      <c r="F6" t="s">
        <v>378</v>
      </c>
      <c r="G6">
        <f>211+256</f>
        <v>467</v>
      </c>
      <c r="H6">
        <f>82+77</f>
        <v>159</v>
      </c>
      <c r="I6">
        <v>166</v>
      </c>
    </row>
    <row r="7" spans="1:9">
      <c r="A7" t="s">
        <v>380</v>
      </c>
      <c r="B7" s="1">
        <f>199+189+145+151</f>
        <v>684</v>
      </c>
      <c r="C7" s="1">
        <f>40+41+25</f>
        <v>106</v>
      </c>
      <c r="D7" s="93">
        <v>602</v>
      </c>
      <c r="F7" t="s">
        <v>381</v>
      </c>
      <c r="G7">
        <f>172+165+63</f>
        <v>400</v>
      </c>
      <c r="H7">
        <v>169</v>
      </c>
      <c r="I7">
        <v>144</v>
      </c>
    </row>
    <row r="8" spans="1:9">
      <c r="A8" t="s">
        <v>383</v>
      </c>
      <c r="B8" s="1">
        <f>106+158+197+184+195</f>
        <v>840</v>
      </c>
      <c r="C8" s="1">
        <f>40+66+101+75</f>
        <v>282</v>
      </c>
      <c r="D8" s="93">
        <v>698</v>
      </c>
      <c r="F8" t="s">
        <v>384</v>
      </c>
      <c r="G8">
        <f>113+101</f>
        <v>214</v>
      </c>
      <c r="H8">
        <v>105</v>
      </c>
      <c r="I8">
        <v>101</v>
      </c>
    </row>
    <row r="9" spans="1:9">
      <c r="A9" t="s">
        <v>386</v>
      </c>
      <c r="B9" s="1">
        <f>212+227+267+239+173+183+203+213+202</f>
        <v>1919</v>
      </c>
      <c r="C9" s="1">
        <f>100+141+175+178+160+125+162</f>
        <v>1041</v>
      </c>
      <c r="D9" s="93">
        <v>1349</v>
      </c>
      <c r="F9" t="s">
        <v>387</v>
      </c>
      <c r="G9">
        <f>141+138+104</f>
        <v>383</v>
      </c>
      <c r="H9">
        <f>85+66</f>
        <v>151</v>
      </c>
      <c r="I9">
        <v>238</v>
      </c>
    </row>
    <row r="10" spans="1:9">
      <c r="A10" t="s">
        <v>388</v>
      </c>
      <c r="B10" s="1">
        <f>179+187+198+220+174+205+175+190</f>
        <v>1528</v>
      </c>
      <c r="C10" s="1">
        <f>60+81+132+118+95</f>
        <v>486</v>
      </c>
      <c r="D10" s="93">
        <v>1220</v>
      </c>
      <c r="F10" t="s">
        <v>389</v>
      </c>
      <c r="G10">
        <f>62+66</f>
        <v>128</v>
      </c>
      <c r="H10">
        <f>43</f>
        <v>43</v>
      </c>
      <c r="I10">
        <v>36</v>
      </c>
    </row>
    <row r="11" spans="1:9">
      <c r="A11" t="s">
        <v>390</v>
      </c>
      <c r="B11" s="1">
        <f>184+169</f>
        <v>353</v>
      </c>
      <c r="C11" s="1">
        <v>67</v>
      </c>
      <c r="D11" s="93">
        <v>242</v>
      </c>
      <c r="F11" t="s">
        <v>391</v>
      </c>
      <c r="G11">
        <f>215+224+195</f>
        <v>634</v>
      </c>
      <c r="H11">
        <f>117+177</f>
        <v>294</v>
      </c>
      <c r="I11">
        <v>298</v>
      </c>
    </row>
    <row r="12" spans="1:9">
      <c r="A12" t="s">
        <v>393</v>
      </c>
      <c r="B12" s="1">
        <f>106+92</f>
        <v>198</v>
      </c>
      <c r="C12" s="1">
        <v>107</v>
      </c>
      <c r="D12" s="93">
        <v>182</v>
      </c>
      <c r="F12" t="s">
        <v>394</v>
      </c>
      <c r="G12">
        <f>123+135+119</f>
        <v>377</v>
      </c>
      <c r="H12">
        <f>97+97</f>
        <v>194</v>
      </c>
      <c r="I12">
        <v>109</v>
      </c>
    </row>
    <row r="13" spans="1:9">
      <c r="A13" t="s">
        <v>396</v>
      </c>
      <c r="B13" s="1">
        <f>172+216+292+263</f>
        <v>943</v>
      </c>
      <c r="C13" s="1">
        <f>80+94+107+81</f>
        <v>362</v>
      </c>
      <c r="D13" s="93">
        <v>711</v>
      </c>
      <c r="F13" t="s">
        <v>397</v>
      </c>
      <c r="G13">
        <f>163+190+178</f>
        <v>531</v>
      </c>
      <c r="H13">
        <f>88+95</f>
        <v>183</v>
      </c>
      <c r="I13">
        <v>197</v>
      </c>
    </row>
    <row r="14" spans="1:9">
      <c r="A14" t="s">
        <v>411</v>
      </c>
      <c r="B14" s="1"/>
      <c r="C14" s="1">
        <v>61</v>
      </c>
      <c r="D14" s="93">
        <v>129</v>
      </c>
      <c r="F14" t="s">
        <v>399</v>
      </c>
      <c r="G14">
        <f>174+240+217</f>
        <v>631</v>
      </c>
      <c r="H14">
        <f>128+145</f>
        <v>273</v>
      </c>
      <c r="I14">
        <v>253</v>
      </c>
    </row>
    <row r="15" spans="1:9">
      <c r="B15" s="1"/>
      <c r="C15" s="1"/>
      <c r="D15" s="1"/>
      <c r="F15" t="s">
        <v>401</v>
      </c>
      <c r="G15">
        <f>89</f>
        <v>89</v>
      </c>
      <c r="H15">
        <f>37</f>
        <v>37</v>
      </c>
      <c r="I15">
        <v>50</v>
      </c>
    </row>
    <row r="16" spans="1:9">
      <c r="B16" s="1">
        <f>SUM(B3:B15)</f>
        <v>9952</v>
      </c>
      <c r="C16" s="1">
        <f>SUM(C3:C15)</f>
        <v>3326</v>
      </c>
      <c r="D16" s="1">
        <f>SUM(D3:D15)</f>
        <v>8247</v>
      </c>
      <c r="F16" t="s">
        <v>403</v>
      </c>
      <c r="G16">
        <f>182+180</f>
        <v>362</v>
      </c>
      <c r="H16">
        <f>88</f>
        <v>88</v>
      </c>
      <c r="I16">
        <v>92</v>
      </c>
    </row>
    <row r="17" spans="6:9">
      <c r="F17" t="s">
        <v>405</v>
      </c>
      <c r="G17">
        <v>63</v>
      </c>
      <c r="H17">
        <v>37</v>
      </c>
      <c r="I17">
        <v>55</v>
      </c>
    </row>
    <row r="18" spans="6:9">
      <c r="H18">
        <v>56</v>
      </c>
      <c r="I18">
        <v>63</v>
      </c>
    </row>
    <row r="19" spans="6:9">
      <c r="G19">
        <f>SUM(G3:G17)</f>
        <v>6899</v>
      </c>
      <c r="H19">
        <f>SUM(H3:H18)</f>
        <v>2786</v>
      </c>
      <c r="I19">
        <f>SUM(I3:I18)</f>
        <v>2736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zoomScale="90" zoomScaleNormal="90" workbookViewId="0">
      <selection activeCell="H7" sqref="H7:H8"/>
    </sheetView>
  </sheetViews>
  <sheetFormatPr defaultColWidth="9" defaultRowHeight="14.4"/>
  <cols>
    <col min="1" max="1" width="11" customWidth="1"/>
    <col min="2" max="2" width="14.44140625" customWidth="1"/>
    <col min="3" max="3" width="15.109375" customWidth="1"/>
    <col min="4" max="4" width="11.88671875" customWidth="1"/>
    <col min="5" max="5" width="16.109375" customWidth="1"/>
    <col min="6" max="6" width="11.33203125" customWidth="1"/>
    <col min="7" max="7" width="12.5546875" customWidth="1"/>
    <col min="8" max="8" width="12.88671875" customWidth="1"/>
    <col min="9" max="9" width="10.88671875" style="1" customWidth="1"/>
    <col min="10" max="10" width="8.6640625" style="1" customWidth="1"/>
    <col min="11" max="11" width="12.5546875" style="1" customWidth="1"/>
    <col min="12" max="12" width="13.33203125" customWidth="1"/>
    <col min="13" max="13" width="10.33203125" customWidth="1"/>
  </cols>
  <sheetData>
    <row r="1" spans="1:13" ht="26.25" customHeight="1">
      <c r="A1" s="177" t="s">
        <v>28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</row>
    <row r="2" spans="1:13" ht="13.5" customHeight="1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</row>
    <row r="3" spans="1:13" ht="23.25" customHeight="1">
      <c r="A3" s="117" t="s">
        <v>29</v>
      </c>
      <c r="B3" s="117"/>
      <c r="C3" s="117" t="s">
        <v>30</v>
      </c>
      <c r="D3" s="117"/>
      <c r="E3" s="117"/>
      <c r="F3" s="117"/>
      <c r="G3" s="117" t="s">
        <v>31</v>
      </c>
      <c r="H3" s="117" t="s">
        <v>32</v>
      </c>
      <c r="I3" s="117"/>
      <c r="J3" s="133"/>
      <c r="K3" s="178" t="s">
        <v>33</v>
      </c>
      <c r="L3" s="178"/>
    </row>
    <row r="4" spans="1:13" ht="21.75" customHeight="1">
      <c r="A4" s="100"/>
      <c r="B4" s="100"/>
      <c r="C4" s="100"/>
      <c r="D4" s="100"/>
      <c r="E4" s="100"/>
      <c r="F4" s="100"/>
      <c r="G4" s="100"/>
      <c r="H4" s="100"/>
      <c r="I4" s="118"/>
      <c r="J4" s="118"/>
      <c r="K4" s="134">
        <v>0.85</v>
      </c>
      <c r="L4" s="134">
        <v>0.85</v>
      </c>
    </row>
    <row r="5" spans="1:13" ht="39.75" customHeight="1">
      <c r="A5" s="184" t="s">
        <v>34</v>
      </c>
      <c r="B5" s="184" t="s">
        <v>35</v>
      </c>
      <c r="C5" s="190" t="s">
        <v>36</v>
      </c>
      <c r="D5" s="192" t="s">
        <v>3</v>
      </c>
      <c r="E5" s="192" t="s">
        <v>37</v>
      </c>
      <c r="F5" s="192" t="s">
        <v>38</v>
      </c>
      <c r="G5" s="197" t="s">
        <v>7</v>
      </c>
      <c r="H5" s="201" t="s">
        <v>39</v>
      </c>
      <c r="I5" s="205" t="s">
        <v>40</v>
      </c>
      <c r="J5" s="208" t="s">
        <v>41</v>
      </c>
      <c r="K5" s="213" t="s">
        <v>42</v>
      </c>
      <c r="L5" s="216" t="s">
        <v>43</v>
      </c>
      <c r="M5" s="135"/>
    </row>
    <row r="6" spans="1:13">
      <c r="A6" s="184"/>
      <c r="B6" s="184"/>
      <c r="C6" s="191"/>
      <c r="D6" s="192"/>
      <c r="E6" s="192"/>
      <c r="F6" s="192"/>
      <c r="G6" s="198"/>
      <c r="H6" s="202"/>
      <c r="I6" s="205"/>
      <c r="J6" s="208"/>
      <c r="K6" s="213"/>
      <c r="L6" s="216"/>
      <c r="M6" s="135"/>
    </row>
    <row r="7" spans="1:13">
      <c r="A7" s="185" t="s">
        <v>44</v>
      </c>
      <c r="B7" s="188" t="s">
        <v>45</v>
      </c>
      <c r="C7" s="185" t="s">
        <v>46</v>
      </c>
      <c r="D7" s="193">
        <v>490</v>
      </c>
      <c r="E7" s="195">
        <f>SUM(D7*75/100)</f>
        <v>367.5</v>
      </c>
      <c r="F7" s="195">
        <f>SUM(E7*60/100)</f>
        <v>220.5</v>
      </c>
      <c r="G7" s="199">
        <f>SUM(F7/13)</f>
        <v>16.961538461538499</v>
      </c>
      <c r="H7" s="203">
        <v>4</v>
      </c>
      <c r="I7" s="206">
        <v>3</v>
      </c>
      <c r="J7" s="209">
        <v>4</v>
      </c>
      <c r="K7" s="214">
        <f>SUM(J7/F7*100)</f>
        <v>1.8140589569161001</v>
      </c>
      <c r="L7" s="217">
        <f>SUM(H7/G7*100)</f>
        <v>23.5827664399093</v>
      </c>
    </row>
    <row r="8" spans="1:13" ht="19.5" customHeight="1">
      <c r="A8" s="186"/>
      <c r="B8" s="189"/>
      <c r="C8" s="187"/>
      <c r="D8" s="194"/>
      <c r="E8" s="196"/>
      <c r="F8" s="196"/>
      <c r="G8" s="200"/>
      <c r="H8" s="204"/>
      <c r="I8" s="207"/>
      <c r="J8" s="210"/>
      <c r="K8" s="215"/>
      <c r="L8" s="218"/>
    </row>
    <row r="9" spans="1:13" ht="30" customHeight="1">
      <c r="A9" s="186"/>
      <c r="B9" s="123" t="s">
        <v>47</v>
      </c>
      <c r="C9" s="119" t="s">
        <v>30</v>
      </c>
      <c r="D9" s="124">
        <v>1198</v>
      </c>
      <c r="E9" s="125">
        <f>SUM(D9*75/100)</f>
        <v>898.5</v>
      </c>
      <c r="F9" s="125">
        <f>SUM(E9*60/100)</f>
        <v>539.1</v>
      </c>
      <c r="G9" s="136">
        <f>SUM(F9/13)</f>
        <v>41.469230769230798</v>
      </c>
      <c r="H9" s="137">
        <v>25</v>
      </c>
      <c r="I9" s="128">
        <v>48</v>
      </c>
      <c r="J9" s="129">
        <v>105</v>
      </c>
      <c r="K9" s="138">
        <f>SUM(J9/E9*100)</f>
        <v>11.686143572621001</v>
      </c>
      <c r="L9" s="139">
        <f>SUM(H9/G9*100)</f>
        <v>60.285661287330697</v>
      </c>
    </row>
    <row r="10" spans="1:13" ht="19.5" customHeight="1">
      <c r="A10" s="186"/>
      <c r="B10" s="188" t="s">
        <v>48</v>
      </c>
      <c r="C10" s="188" t="s">
        <v>49</v>
      </c>
      <c r="D10" s="193">
        <v>872</v>
      </c>
      <c r="E10" s="195">
        <f>SUM(D10*75/100)</f>
        <v>654</v>
      </c>
      <c r="F10" s="195">
        <f>SUM(E10*60/100)</f>
        <v>392.4</v>
      </c>
      <c r="G10" s="199">
        <f>SUM(F10/13)</f>
        <v>30.184615384615402</v>
      </c>
      <c r="H10" s="203">
        <v>13</v>
      </c>
      <c r="I10" s="206">
        <v>12</v>
      </c>
      <c r="J10" s="211">
        <v>51</v>
      </c>
      <c r="K10" s="214">
        <f>SUM(J10/F10*100)</f>
        <v>12.9969418960245</v>
      </c>
      <c r="L10" s="217">
        <f>SUM(H10/G10*100)</f>
        <v>43.068297655453598</v>
      </c>
    </row>
    <row r="11" spans="1:13">
      <c r="A11" s="187"/>
      <c r="B11" s="189"/>
      <c r="C11" s="189"/>
      <c r="D11" s="194"/>
      <c r="E11" s="196"/>
      <c r="F11" s="196"/>
      <c r="G11" s="200"/>
      <c r="H11" s="204"/>
      <c r="I11" s="207"/>
      <c r="J11" s="212"/>
      <c r="K11" s="215"/>
      <c r="L11" s="218"/>
    </row>
    <row r="12" spans="1:13" ht="34.5" customHeight="1">
      <c r="A12" s="179" t="s">
        <v>27</v>
      </c>
      <c r="B12" s="180"/>
      <c r="C12" s="181"/>
      <c r="D12" s="105">
        <f>SUM(D7:D10)</f>
        <v>2560</v>
      </c>
      <c r="E12" s="106">
        <f>SUM(E7:E10)</f>
        <v>1920</v>
      </c>
      <c r="F12" s="106">
        <f>SUM(F7:F10)</f>
        <v>1152</v>
      </c>
      <c r="G12" s="140">
        <f>SUM(G7:G10)</f>
        <v>88.615384615384599</v>
      </c>
      <c r="H12" s="141">
        <f>SUM(H7:H11)</f>
        <v>42</v>
      </c>
      <c r="I12" s="109">
        <f>SUM(I7:I10)</f>
        <v>63</v>
      </c>
      <c r="J12" s="132">
        <f>SUM(J7:J10)</f>
        <v>160</v>
      </c>
      <c r="K12" s="182"/>
      <c r="L12" s="183"/>
    </row>
  </sheetData>
  <mergeCells count="39">
    <mergeCell ref="K5:K6"/>
    <mergeCell ref="K7:K8"/>
    <mergeCell ref="K10:K11"/>
    <mergeCell ref="L5:L6"/>
    <mergeCell ref="L7:L8"/>
    <mergeCell ref="L10:L11"/>
    <mergeCell ref="I5:I6"/>
    <mergeCell ref="I7:I8"/>
    <mergeCell ref="I10:I11"/>
    <mergeCell ref="J5:J6"/>
    <mergeCell ref="J7:J8"/>
    <mergeCell ref="J10:J11"/>
    <mergeCell ref="G5:G6"/>
    <mergeCell ref="G7:G8"/>
    <mergeCell ref="G10:G11"/>
    <mergeCell ref="H5:H6"/>
    <mergeCell ref="H7:H8"/>
    <mergeCell ref="H10:H11"/>
    <mergeCell ref="E7:E8"/>
    <mergeCell ref="E10:E11"/>
    <mergeCell ref="F5:F6"/>
    <mergeCell ref="F7:F8"/>
    <mergeCell ref="F10:F11"/>
    <mergeCell ref="A1:L1"/>
    <mergeCell ref="K3:L3"/>
    <mergeCell ref="A12:C12"/>
    <mergeCell ref="K12:L12"/>
    <mergeCell ref="A5:A6"/>
    <mergeCell ref="A7:A11"/>
    <mergeCell ref="B5:B6"/>
    <mergeCell ref="B7:B8"/>
    <mergeCell ref="B10:B11"/>
    <mergeCell ref="C5:C6"/>
    <mergeCell ref="C7:C8"/>
    <mergeCell ref="C10:C11"/>
    <mergeCell ref="D5:D6"/>
    <mergeCell ref="D7:D8"/>
    <mergeCell ref="D10:D11"/>
    <mergeCell ref="E5:E6"/>
  </mergeCells>
  <pageMargins left="0.70866141732283505" right="0.70866141732283505" top="0.74803149606299202" bottom="0.74803149606299202" header="0.31496062992126" footer="0.31496062992126"/>
  <pageSetup scale="62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10"/>
  <sheetViews>
    <sheetView zoomScale="90" zoomScaleNormal="90" workbookViewId="0">
      <selection sqref="A1:L10"/>
    </sheetView>
  </sheetViews>
  <sheetFormatPr defaultColWidth="9" defaultRowHeight="14.4"/>
  <cols>
    <col min="1" max="1" width="12" customWidth="1"/>
    <col min="2" max="2" width="12.6640625" customWidth="1"/>
    <col min="3" max="3" width="14.88671875" customWidth="1"/>
    <col min="4" max="4" width="10.88671875" customWidth="1"/>
    <col min="5" max="5" width="16.33203125" style="1" customWidth="1"/>
    <col min="6" max="6" width="11.44140625" style="1" customWidth="1"/>
    <col min="7" max="7" width="10.33203125" style="1" customWidth="1"/>
    <col min="8" max="8" width="10.109375" style="1" customWidth="1"/>
    <col min="9" max="9" width="9.6640625" style="1" customWidth="1"/>
    <col min="10" max="10" width="10.109375" style="1" customWidth="1"/>
    <col min="11" max="11" width="12" customWidth="1"/>
    <col min="12" max="12" width="12.6640625" customWidth="1"/>
  </cols>
  <sheetData>
    <row r="1" spans="1:12" ht="28.8">
      <c r="A1" s="177" t="s">
        <v>28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</row>
    <row r="2" spans="1:12" ht="20.25" customHeight="1">
      <c r="A2" s="99"/>
    </row>
    <row r="3" spans="1:12" ht="18">
      <c r="A3" s="100" t="s">
        <v>29</v>
      </c>
      <c r="B3" s="100"/>
      <c r="C3" s="100" t="s">
        <v>50</v>
      </c>
      <c r="D3" s="100"/>
      <c r="E3" s="118"/>
      <c r="F3" s="121" t="s">
        <v>51</v>
      </c>
      <c r="G3" s="121" t="s">
        <v>52</v>
      </c>
      <c r="H3" s="118"/>
      <c r="I3" s="100"/>
      <c r="J3" s="118"/>
      <c r="K3" s="220" t="s">
        <v>33</v>
      </c>
      <c r="L3" s="220"/>
    </row>
    <row r="4" spans="1:12" ht="18">
      <c r="K4" s="101">
        <v>0.85</v>
      </c>
      <c r="L4" s="101">
        <v>0.85</v>
      </c>
    </row>
    <row r="5" spans="1:12" ht="32.25" customHeight="1">
      <c r="A5" s="184" t="s">
        <v>34</v>
      </c>
      <c r="B5" s="184" t="s">
        <v>35</v>
      </c>
      <c r="C5" s="190" t="s">
        <v>36</v>
      </c>
      <c r="D5" s="192" t="s">
        <v>53</v>
      </c>
      <c r="E5" s="192" t="s">
        <v>37</v>
      </c>
      <c r="F5" s="192" t="s">
        <v>54</v>
      </c>
      <c r="G5" s="221" t="s">
        <v>55</v>
      </c>
      <c r="H5" s="223" t="s">
        <v>56</v>
      </c>
      <c r="I5" s="205" t="s">
        <v>40</v>
      </c>
      <c r="J5" s="225" t="s">
        <v>57</v>
      </c>
      <c r="K5" s="226" t="s">
        <v>42</v>
      </c>
      <c r="L5" s="219" t="s">
        <v>43</v>
      </c>
    </row>
    <row r="6" spans="1:12" ht="27.75" customHeight="1">
      <c r="A6" s="184"/>
      <c r="B6" s="184"/>
      <c r="C6" s="191"/>
      <c r="D6" s="192"/>
      <c r="E6" s="192"/>
      <c r="F6" s="192"/>
      <c r="G6" s="222"/>
      <c r="H6" s="224"/>
      <c r="I6" s="205"/>
      <c r="J6" s="225"/>
      <c r="K6" s="226"/>
      <c r="L6" s="219"/>
    </row>
    <row r="7" spans="1:12" ht="30" customHeight="1">
      <c r="A7" s="185" t="s">
        <v>58</v>
      </c>
      <c r="B7" s="122" t="s">
        <v>59</v>
      </c>
      <c r="C7" s="123" t="s">
        <v>60</v>
      </c>
      <c r="D7" s="124">
        <v>1158</v>
      </c>
      <c r="E7" s="125">
        <f>SUM(D7*75/100)</f>
        <v>868.5</v>
      </c>
      <c r="F7" s="125">
        <f>SUM(E7*60/100)</f>
        <v>521.1</v>
      </c>
      <c r="G7" s="126">
        <f>SUM(F7/10)</f>
        <v>52.11</v>
      </c>
      <c r="H7" s="127">
        <v>4</v>
      </c>
      <c r="I7" s="128">
        <v>11</v>
      </c>
      <c r="J7" s="129">
        <v>13</v>
      </c>
      <c r="K7" s="130">
        <f>SUM(J7/F7*100)</f>
        <v>2.4947227019765901</v>
      </c>
      <c r="L7" s="112">
        <f>SUM(H7/G7*100)</f>
        <v>7.6760698522356501</v>
      </c>
    </row>
    <row r="8" spans="1:12" ht="30" customHeight="1">
      <c r="A8" s="186"/>
      <c r="B8" s="122" t="s">
        <v>61</v>
      </c>
      <c r="C8" s="123" t="s">
        <v>62</v>
      </c>
      <c r="D8" s="124">
        <v>1362</v>
      </c>
      <c r="E8" s="125">
        <f>SUM(D8*75/100)</f>
        <v>1021.5</v>
      </c>
      <c r="F8" s="125">
        <f>SUM(E8*60/100)</f>
        <v>612.9</v>
      </c>
      <c r="G8" s="126">
        <f>SUM(F8/10)</f>
        <v>61.29</v>
      </c>
      <c r="H8" s="127">
        <v>55</v>
      </c>
      <c r="I8" s="128">
        <v>40</v>
      </c>
      <c r="J8" s="129">
        <v>530</v>
      </c>
      <c r="K8" s="130">
        <f>SUM(J8/F8*100)</f>
        <v>86.474139337575494</v>
      </c>
      <c r="L8" s="112">
        <f>SUM(H8/G8*100)</f>
        <v>89.737314406917903</v>
      </c>
    </row>
    <row r="9" spans="1:12" ht="36.75" customHeight="1">
      <c r="A9" s="187"/>
      <c r="B9" s="103" t="s">
        <v>63</v>
      </c>
      <c r="C9" s="131" t="s">
        <v>64</v>
      </c>
      <c r="D9" s="105">
        <v>1058</v>
      </c>
      <c r="E9" s="106">
        <f>SUM(D9*75/100)</f>
        <v>793.5</v>
      </c>
      <c r="F9" s="106">
        <f>SUM(E9*60/100)</f>
        <v>476.1</v>
      </c>
      <c r="G9" s="107">
        <f>SUM(F9/12)</f>
        <v>39.674999999999997</v>
      </c>
      <c r="H9" s="108">
        <v>2</v>
      </c>
      <c r="I9" s="109">
        <v>2</v>
      </c>
      <c r="J9" s="132">
        <v>2</v>
      </c>
      <c r="K9" s="130">
        <f>SUM(J9/F9*100)</f>
        <v>0.42007981516488102</v>
      </c>
      <c r="L9" s="112">
        <f>SUM(H9/G9*100)</f>
        <v>5.0409577819785802</v>
      </c>
    </row>
    <row r="10" spans="1:12" ht="28.5" customHeight="1">
      <c r="A10" s="179" t="s">
        <v>27</v>
      </c>
      <c r="B10" s="180"/>
      <c r="C10" s="181"/>
      <c r="D10" s="105">
        <f t="shared" ref="D10:J10" si="0">SUM(D7:D9)</f>
        <v>3578</v>
      </c>
      <c r="E10" s="106">
        <f t="shared" si="0"/>
        <v>2683.5</v>
      </c>
      <c r="F10" s="106">
        <f t="shared" si="0"/>
        <v>1610.1</v>
      </c>
      <c r="G10" s="107">
        <f t="shared" si="0"/>
        <v>153.07499999999999</v>
      </c>
      <c r="H10" s="108">
        <f t="shared" si="0"/>
        <v>61</v>
      </c>
      <c r="I10" s="109">
        <f t="shared" si="0"/>
        <v>53</v>
      </c>
      <c r="J10" s="132">
        <f t="shared" si="0"/>
        <v>545</v>
      </c>
      <c r="K10" s="182"/>
      <c r="L10" s="183"/>
    </row>
  </sheetData>
  <mergeCells count="17">
    <mergeCell ref="K5:K6"/>
    <mergeCell ref="L5:L6"/>
    <mergeCell ref="A1:L1"/>
    <mergeCell ref="K3:L3"/>
    <mergeCell ref="A10:C10"/>
    <mergeCell ref="K10:L10"/>
    <mergeCell ref="A5:A6"/>
    <mergeCell ref="A7:A9"/>
    <mergeCell ref="B5:B6"/>
    <mergeCell ref="C5:C6"/>
    <mergeCell ref="D5:D6"/>
    <mergeCell ref="E5:E6"/>
    <mergeCell ref="F5:F6"/>
    <mergeCell ref="G5:G6"/>
    <mergeCell ref="H5:H6"/>
    <mergeCell ref="I5:I6"/>
    <mergeCell ref="J5:J6"/>
  </mergeCells>
  <pageMargins left="0.7" right="0.7" top="0.75" bottom="0.75" header="0.3" footer="0.3"/>
  <pageSetup scale="66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zoomScale="90" zoomScaleNormal="90" workbookViewId="0">
      <selection sqref="A1:L10"/>
    </sheetView>
  </sheetViews>
  <sheetFormatPr defaultColWidth="9" defaultRowHeight="14.4"/>
  <cols>
    <col min="1" max="1" width="10.6640625" customWidth="1"/>
    <col min="2" max="2" width="11.109375" customWidth="1"/>
    <col min="3" max="3" width="18.6640625" customWidth="1"/>
    <col min="4" max="4" width="10.5546875" customWidth="1"/>
    <col min="5" max="5" width="16.5546875" customWidth="1"/>
    <col min="6" max="6" width="10.44140625" customWidth="1"/>
    <col min="7" max="7" width="12.5546875" customWidth="1"/>
    <col min="8" max="8" width="12" customWidth="1"/>
    <col min="9" max="9" width="10" style="1" customWidth="1"/>
    <col min="10" max="10" width="8.5546875" style="1" customWidth="1"/>
    <col min="11" max="11" width="12.33203125" style="1" customWidth="1"/>
    <col min="12" max="12" width="12.109375" style="1" customWidth="1"/>
  </cols>
  <sheetData>
    <row r="1" spans="1:12" ht="28.8">
      <c r="A1" s="177" t="s">
        <v>28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</row>
    <row r="2" spans="1:12" ht="18.75" customHeight="1">
      <c r="A2" s="116"/>
    </row>
    <row r="3" spans="1:12" ht="24" customHeight="1">
      <c r="A3" s="117" t="s">
        <v>65</v>
      </c>
      <c r="B3" s="117"/>
      <c r="C3" s="117" t="s">
        <v>66</v>
      </c>
      <c r="D3" s="117"/>
      <c r="E3" s="117"/>
      <c r="F3" s="117" t="s">
        <v>31</v>
      </c>
      <c r="G3" s="117" t="s">
        <v>67</v>
      </c>
      <c r="H3" s="117"/>
      <c r="I3" s="117"/>
      <c r="J3" s="117"/>
      <c r="K3" s="220" t="s">
        <v>33</v>
      </c>
      <c r="L3" s="220"/>
    </row>
    <row r="4" spans="1:12" ht="18">
      <c r="A4" s="100"/>
      <c r="B4" s="100"/>
      <c r="C4" s="100"/>
      <c r="D4" s="100"/>
      <c r="E4" s="100"/>
      <c r="F4" s="100"/>
      <c r="G4" s="100"/>
      <c r="H4" s="100"/>
      <c r="I4" s="118"/>
      <c r="J4" s="118"/>
      <c r="K4" s="101">
        <v>0.85</v>
      </c>
      <c r="L4" s="101">
        <v>0.85</v>
      </c>
    </row>
    <row r="5" spans="1:12" ht="32.25" customHeight="1">
      <c r="A5" s="184" t="s">
        <v>34</v>
      </c>
      <c r="B5" s="184" t="s">
        <v>35</v>
      </c>
      <c r="C5" s="190" t="s">
        <v>36</v>
      </c>
      <c r="D5" s="192" t="s">
        <v>3</v>
      </c>
      <c r="E5" s="192" t="s">
        <v>37</v>
      </c>
      <c r="F5" s="192" t="s">
        <v>38</v>
      </c>
      <c r="G5" s="197" t="s">
        <v>7</v>
      </c>
      <c r="H5" s="201" t="s">
        <v>39</v>
      </c>
      <c r="I5" s="205" t="s">
        <v>40</v>
      </c>
      <c r="J5" s="208" t="s">
        <v>41</v>
      </c>
      <c r="K5" s="227" t="s">
        <v>42</v>
      </c>
      <c r="L5" s="219" t="s">
        <v>43</v>
      </c>
    </row>
    <row r="6" spans="1:12" ht="34.5" customHeight="1">
      <c r="A6" s="184"/>
      <c r="B6" s="184"/>
      <c r="C6" s="191"/>
      <c r="D6" s="192"/>
      <c r="E6" s="192"/>
      <c r="F6" s="192"/>
      <c r="G6" s="198"/>
      <c r="H6" s="202"/>
      <c r="I6" s="205"/>
      <c r="J6" s="208"/>
      <c r="K6" s="227"/>
      <c r="L6" s="219"/>
    </row>
    <row r="7" spans="1:12" ht="33.75" customHeight="1">
      <c r="A7" s="185" t="s">
        <v>68</v>
      </c>
      <c r="B7" s="103" t="s">
        <v>69</v>
      </c>
      <c r="C7" s="120" t="s">
        <v>70</v>
      </c>
      <c r="D7" s="105">
        <v>489</v>
      </c>
      <c r="E7" s="106">
        <f>SUM(D7*75/100)</f>
        <v>366.75</v>
      </c>
      <c r="F7" s="106">
        <f>SUM(E7*60/100)</f>
        <v>220.05</v>
      </c>
      <c r="G7" s="107">
        <f>SUM(F7/10)</f>
        <v>22.004999999999999</v>
      </c>
      <c r="H7" s="108">
        <v>8</v>
      </c>
      <c r="I7" s="109">
        <v>9</v>
      </c>
      <c r="J7" s="110">
        <v>39</v>
      </c>
      <c r="K7" s="111">
        <f>SUM(J7/F7*100)</f>
        <v>17.723244717109701</v>
      </c>
      <c r="L7" s="112">
        <f>SUM(H7/G7*100)</f>
        <v>36.355373778686698</v>
      </c>
    </row>
    <row r="8" spans="1:12" ht="30.75" customHeight="1">
      <c r="A8" s="186"/>
      <c r="B8" s="103" t="s">
        <v>71</v>
      </c>
      <c r="C8" s="98" t="s">
        <v>72</v>
      </c>
      <c r="D8" s="105">
        <v>929</v>
      </c>
      <c r="E8" s="106">
        <f>SUM(D8*75/100)</f>
        <v>696.75</v>
      </c>
      <c r="F8" s="106">
        <f>SUM(E8*60/100)</f>
        <v>418.05</v>
      </c>
      <c r="G8" s="107">
        <f>SUM(F8/10)</f>
        <v>41.805</v>
      </c>
      <c r="H8" s="108">
        <v>4</v>
      </c>
      <c r="I8" s="109">
        <v>0</v>
      </c>
      <c r="J8" s="110">
        <v>27</v>
      </c>
      <c r="K8" s="111">
        <f>SUM(J8/F8*100)</f>
        <v>6.4585575888051698</v>
      </c>
      <c r="L8" s="112">
        <f>SUM(H8/G8*100)</f>
        <v>9.5682334648965401</v>
      </c>
    </row>
    <row r="9" spans="1:12" ht="25.5" customHeight="1">
      <c r="A9" s="186"/>
      <c r="B9" s="103" t="s">
        <v>73</v>
      </c>
      <c r="C9" s="103" t="s">
        <v>74</v>
      </c>
      <c r="D9" s="105">
        <v>1059</v>
      </c>
      <c r="E9" s="106">
        <f>SUM(D9*75/100)</f>
        <v>794.25</v>
      </c>
      <c r="F9" s="106">
        <f>SUM(E9*60/100)</f>
        <v>476.55</v>
      </c>
      <c r="G9" s="107">
        <f>SUM(F9/10)</f>
        <v>47.655000000000001</v>
      </c>
      <c r="H9" s="108">
        <v>15</v>
      </c>
      <c r="I9" s="109">
        <v>27</v>
      </c>
      <c r="J9" s="110">
        <v>51</v>
      </c>
      <c r="K9" s="111">
        <f>SUM(J9/F9*100)</f>
        <v>10.701920050362</v>
      </c>
      <c r="L9" s="112">
        <f>SUM(H9/G9*100)</f>
        <v>31.476235442241101</v>
      </c>
    </row>
    <row r="10" spans="1:12" ht="30.75" customHeight="1">
      <c r="A10" s="179" t="s">
        <v>27</v>
      </c>
      <c r="B10" s="180"/>
      <c r="C10" s="181"/>
      <c r="D10" s="105">
        <f t="shared" ref="D10:J10" si="0">SUM(D7:D9)</f>
        <v>2477</v>
      </c>
      <c r="E10" s="106">
        <f t="shared" si="0"/>
        <v>1857.75</v>
      </c>
      <c r="F10" s="106">
        <f t="shared" si="0"/>
        <v>1114.6500000000001</v>
      </c>
      <c r="G10" s="107">
        <f t="shared" si="0"/>
        <v>111.465</v>
      </c>
      <c r="H10" s="108">
        <f t="shared" si="0"/>
        <v>27</v>
      </c>
      <c r="I10" s="109">
        <f t="shared" si="0"/>
        <v>36</v>
      </c>
      <c r="J10" s="110">
        <f t="shared" si="0"/>
        <v>117</v>
      </c>
      <c r="K10" s="182"/>
      <c r="L10" s="183"/>
    </row>
  </sheetData>
  <mergeCells count="17">
    <mergeCell ref="K5:K6"/>
    <mergeCell ref="L5:L6"/>
    <mergeCell ref="A1:L1"/>
    <mergeCell ref="K3:L3"/>
    <mergeCell ref="A10:C10"/>
    <mergeCell ref="K10:L10"/>
    <mergeCell ref="A5:A6"/>
    <mergeCell ref="A7:A9"/>
    <mergeCell ref="B5:B6"/>
    <mergeCell ref="C5:C6"/>
    <mergeCell ref="D5:D6"/>
    <mergeCell ref="E5:E6"/>
    <mergeCell ref="F5:F6"/>
    <mergeCell ref="G5:G6"/>
    <mergeCell ref="H5:H6"/>
    <mergeCell ref="I5:I6"/>
    <mergeCell ref="J5:J6"/>
  </mergeCells>
  <pageMargins left="0.7" right="0.7" top="0.75" bottom="0.75" header="0.3" footer="0.3"/>
  <pageSetup scale="66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zoomScale="90" zoomScaleNormal="90" workbookViewId="0">
      <selection sqref="A1:L10"/>
    </sheetView>
  </sheetViews>
  <sheetFormatPr defaultColWidth="9" defaultRowHeight="14.4"/>
  <cols>
    <col min="1" max="1" width="10.88671875" customWidth="1"/>
    <col min="2" max="2" width="11.5546875" customWidth="1"/>
    <col min="3" max="3" width="16.33203125" customWidth="1"/>
    <col min="4" max="4" width="11" customWidth="1"/>
    <col min="5" max="5" width="16.88671875" customWidth="1"/>
    <col min="6" max="6" width="11.109375" customWidth="1"/>
    <col min="7" max="8" width="12" customWidth="1"/>
    <col min="9" max="9" width="10.33203125" style="1" customWidth="1"/>
    <col min="10" max="10" width="9.109375" style="1" customWidth="1"/>
    <col min="11" max="11" width="12.6640625" customWidth="1"/>
    <col min="12" max="12" width="13.109375" customWidth="1"/>
  </cols>
  <sheetData>
    <row r="1" spans="1:12" ht="28.8">
      <c r="A1" s="177" t="s">
        <v>28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</row>
    <row r="2" spans="1:12" ht="18" customHeight="1">
      <c r="A2" s="99"/>
    </row>
    <row r="3" spans="1:12" ht="18">
      <c r="A3" s="100" t="s">
        <v>75</v>
      </c>
      <c r="B3" s="100"/>
      <c r="C3" s="100" t="s">
        <v>76</v>
      </c>
      <c r="D3" s="100"/>
      <c r="E3" s="100"/>
      <c r="F3" s="100"/>
      <c r="G3" s="100" t="s">
        <v>77</v>
      </c>
      <c r="H3" s="100" t="s">
        <v>78</v>
      </c>
      <c r="I3" s="100"/>
      <c r="J3" s="100"/>
      <c r="K3" s="220" t="s">
        <v>33</v>
      </c>
      <c r="L3" s="220"/>
    </row>
    <row r="4" spans="1:12" ht="18">
      <c r="K4" s="101">
        <v>0.85</v>
      </c>
      <c r="L4" s="101">
        <v>0.85</v>
      </c>
    </row>
    <row r="5" spans="1:12" ht="32.25" customHeight="1">
      <c r="A5" s="184" t="s">
        <v>34</v>
      </c>
      <c r="B5" s="184" t="s">
        <v>35</v>
      </c>
      <c r="C5" s="190" t="s">
        <v>36</v>
      </c>
      <c r="D5" s="192" t="s">
        <v>3</v>
      </c>
      <c r="E5" s="192" t="s">
        <v>37</v>
      </c>
      <c r="F5" s="192" t="s">
        <v>38</v>
      </c>
      <c r="G5" s="197" t="s">
        <v>7</v>
      </c>
      <c r="H5" s="201" t="s">
        <v>39</v>
      </c>
      <c r="I5" s="205" t="s">
        <v>40</v>
      </c>
      <c r="J5" s="208" t="s">
        <v>41</v>
      </c>
      <c r="K5" s="230" t="s">
        <v>42</v>
      </c>
      <c r="L5" s="228" t="s">
        <v>43</v>
      </c>
    </row>
    <row r="6" spans="1:12" ht="27" customHeight="1">
      <c r="A6" s="184"/>
      <c r="B6" s="184"/>
      <c r="C6" s="191"/>
      <c r="D6" s="192"/>
      <c r="E6" s="192"/>
      <c r="F6" s="192"/>
      <c r="G6" s="198"/>
      <c r="H6" s="202"/>
      <c r="I6" s="205"/>
      <c r="J6" s="208"/>
      <c r="K6" s="231"/>
      <c r="L6" s="229"/>
    </row>
    <row r="7" spans="1:12" ht="31.2">
      <c r="A7" s="186" t="s">
        <v>79</v>
      </c>
      <c r="B7" s="103" t="s">
        <v>80</v>
      </c>
      <c r="C7" s="104" t="s">
        <v>81</v>
      </c>
      <c r="D7" s="105">
        <v>952</v>
      </c>
      <c r="E7" s="106">
        <f>SUM(D7*75/100)</f>
        <v>714</v>
      </c>
      <c r="F7" s="106">
        <f>SUM(E7*60/100)</f>
        <v>428.4</v>
      </c>
      <c r="G7" s="107">
        <f>SUM(F7/10)</f>
        <v>42.84</v>
      </c>
      <c r="H7" s="108">
        <v>9</v>
      </c>
      <c r="I7" s="109">
        <v>0</v>
      </c>
      <c r="J7" s="110">
        <v>49</v>
      </c>
      <c r="K7" s="113">
        <f>SUM(J7/F7*100)</f>
        <v>11.437908496732</v>
      </c>
      <c r="L7" s="114">
        <f>SUM(H7/G7*100)</f>
        <v>21.008403361344499</v>
      </c>
    </row>
    <row r="8" spans="1:12" ht="26.25" customHeight="1">
      <c r="A8" s="186"/>
      <c r="B8" s="103" t="s">
        <v>82</v>
      </c>
      <c r="C8" s="103" t="s">
        <v>83</v>
      </c>
      <c r="D8" s="105">
        <v>357</v>
      </c>
      <c r="E8" s="106">
        <f>SUM(D8*75/100)</f>
        <v>267.75</v>
      </c>
      <c r="F8" s="106">
        <f>SUM(E8*60/100)</f>
        <v>160.65</v>
      </c>
      <c r="G8" s="107">
        <f>SUM(F8/10)</f>
        <v>16.065000000000001</v>
      </c>
      <c r="H8" s="108">
        <v>1</v>
      </c>
      <c r="I8" s="109">
        <v>10</v>
      </c>
      <c r="J8" s="110">
        <v>18</v>
      </c>
      <c r="K8" s="115">
        <f>SUM(J8/F8*100)</f>
        <v>11.2044817927171</v>
      </c>
      <c r="L8" s="114">
        <f>SUM(H8/G8*100)</f>
        <v>6.2247121070650504</v>
      </c>
    </row>
    <row r="9" spans="1:12" ht="26.25" customHeight="1">
      <c r="A9" s="186"/>
      <c r="B9" s="103" t="s">
        <v>84</v>
      </c>
      <c r="C9" s="103" t="s">
        <v>85</v>
      </c>
      <c r="D9" s="105">
        <v>249</v>
      </c>
      <c r="E9" s="106">
        <f>SUM(D9*75/100)</f>
        <v>186.75</v>
      </c>
      <c r="F9" s="106">
        <f>SUM(E9*60/100)</f>
        <v>112.05</v>
      </c>
      <c r="G9" s="107">
        <f>SUM(F9/10)</f>
        <v>11.205</v>
      </c>
      <c r="H9" s="108">
        <v>2</v>
      </c>
      <c r="I9" s="109">
        <v>4</v>
      </c>
      <c r="J9" s="110">
        <v>4</v>
      </c>
      <c r="K9" s="115">
        <f>SUM(J9/F9*100)</f>
        <v>3.5698348951361001</v>
      </c>
      <c r="L9" s="114">
        <f>SUM(H9/G9*100)</f>
        <v>17.849174475680499</v>
      </c>
    </row>
    <row r="10" spans="1:12" ht="38.25" customHeight="1">
      <c r="A10" s="179" t="s">
        <v>27</v>
      </c>
      <c r="B10" s="180"/>
      <c r="C10" s="181"/>
      <c r="D10" s="105">
        <f t="shared" ref="D10:J10" si="0">SUM(D7:D9)</f>
        <v>1558</v>
      </c>
      <c r="E10" s="106">
        <f t="shared" si="0"/>
        <v>1168.5</v>
      </c>
      <c r="F10" s="106">
        <f t="shared" si="0"/>
        <v>701.1</v>
      </c>
      <c r="G10" s="107">
        <f t="shared" si="0"/>
        <v>70.11</v>
      </c>
      <c r="H10" s="108">
        <f t="shared" si="0"/>
        <v>12</v>
      </c>
      <c r="I10" s="109">
        <f t="shared" si="0"/>
        <v>14</v>
      </c>
      <c r="J10" s="110">
        <f t="shared" si="0"/>
        <v>71</v>
      </c>
      <c r="K10" s="182"/>
      <c r="L10" s="183"/>
    </row>
  </sheetData>
  <mergeCells count="17">
    <mergeCell ref="K5:K6"/>
    <mergeCell ref="L5:L6"/>
    <mergeCell ref="A1:L1"/>
    <mergeCell ref="K3:L3"/>
    <mergeCell ref="A10:C10"/>
    <mergeCell ref="K10:L10"/>
    <mergeCell ref="A5:A6"/>
    <mergeCell ref="A7:A9"/>
    <mergeCell ref="B5:B6"/>
    <mergeCell ref="C5:C6"/>
    <mergeCell ref="D5:D6"/>
    <mergeCell ref="E5:E6"/>
    <mergeCell ref="F5:F6"/>
    <mergeCell ref="G5:G6"/>
    <mergeCell ref="H5:H6"/>
    <mergeCell ref="I5:I6"/>
    <mergeCell ref="J5:J6"/>
  </mergeCells>
  <pageMargins left="0.7" right="0.7" top="0.75" bottom="0.75" header="0.3" footer="0.3"/>
  <pageSetup scale="66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"/>
  <sheetViews>
    <sheetView zoomScale="90" zoomScaleNormal="90" workbookViewId="0">
      <selection activeCell="M7" sqref="M7"/>
    </sheetView>
  </sheetViews>
  <sheetFormatPr defaultColWidth="9" defaultRowHeight="14.4"/>
  <cols>
    <col min="1" max="1" width="13.88671875" customWidth="1"/>
    <col min="2" max="2" width="14" customWidth="1"/>
    <col min="3" max="3" width="15.6640625" customWidth="1"/>
    <col min="4" max="4" width="10.44140625" customWidth="1"/>
    <col min="5" max="5" width="16.109375" customWidth="1"/>
    <col min="6" max="6" width="9.88671875" customWidth="1"/>
    <col min="7" max="7" width="12.33203125" customWidth="1"/>
    <col min="8" max="8" width="12.44140625" customWidth="1"/>
    <col min="9" max="9" width="10" style="1" customWidth="1"/>
    <col min="10" max="10" width="9" style="1" customWidth="1"/>
    <col min="11" max="12" width="12" customWidth="1"/>
  </cols>
  <sheetData>
    <row r="1" spans="1:12" ht="25.8">
      <c r="A1" s="234" t="s">
        <v>28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</row>
    <row r="2" spans="1:12" ht="19.5" customHeight="1">
      <c r="A2" s="99"/>
    </row>
    <row r="3" spans="1:12" ht="18">
      <c r="A3" s="100" t="s">
        <v>86</v>
      </c>
      <c r="B3" s="100"/>
      <c r="C3" s="100" t="s">
        <v>87</v>
      </c>
      <c r="D3" s="100"/>
      <c r="E3" s="100"/>
      <c r="F3" s="100"/>
      <c r="G3" s="100" t="s">
        <v>88</v>
      </c>
      <c r="H3" s="100" t="s">
        <v>89</v>
      </c>
      <c r="I3" s="100"/>
      <c r="J3" s="100"/>
      <c r="K3" s="220" t="s">
        <v>33</v>
      </c>
      <c r="L3" s="220"/>
    </row>
    <row r="4" spans="1:12" ht="18">
      <c r="K4" s="101">
        <v>0.85</v>
      </c>
      <c r="L4" s="101">
        <v>0.85</v>
      </c>
    </row>
    <row r="5" spans="1:12" ht="32.25" customHeight="1">
      <c r="A5" s="184" t="s">
        <v>34</v>
      </c>
      <c r="B5" s="184" t="s">
        <v>35</v>
      </c>
      <c r="C5" s="190" t="s">
        <v>36</v>
      </c>
      <c r="D5" s="192" t="s">
        <v>3</v>
      </c>
      <c r="E5" s="192" t="s">
        <v>37</v>
      </c>
      <c r="F5" s="192" t="s">
        <v>38</v>
      </c>
      <c r="G5" s="197" t="s">
        <v>7</v>
      </c>
      <c r="H5" s="201" t="s">
        <v>39</v>
      </c>
      <c r="I5" s="205" t="s">
        <v>40</v>
      </c>
      <c r="J5" s="208" t="s">
        <v>41</v>
      </c>
      <c r="K5" s="235" t="s">
        <v>42</v>
      </c>
      <c r="L5" s="232" t="s">
        <v>43</v>
      </c>
    </row>
    <row r="6" spans="1:12" ht="36" customHeight="1">
      <c r="A6" s="184"/>
      <c r="B6" s="184"/>
      <c r="C6" s="191"/>
      <c r="D6" s="192"/>
      <c r="E6" s="192"/>
      <c r="F6" s="192"/>
      <c r="G6" s="198"/>
      <c r="H6" s="202"/>
      <c r="I6" s="205"/>
      <c r="J6" s="208"/>
      <c r="K6" s="236"/>
      <c r="L6" s="233"/>
    </row>
    <row r="7" spans="1:12" ht="39.75" customHeight="1">
      <c r="A7" s="186" t="s">
        <v>90</v>
      </c>
      <c r="B7" s="103" t="s">
        <v>91</v>
      </c>
      <c r="C7" s="104" t="s">
        <v>92</v>
      </c>
      <c r="D7" s="105">
        <v>3960</v>
      </c>
      <c r="E7" s="106">
        <f>SUM(D7*75/100)</f>
        <v>2970</v>
      </c>
      <c r="F7" s="106">
        <f>SUM(E7*60/100)</f>
        <v>1782</v>
      </c>
      <c r="G7" s="107">
        <f>SUM(F7/10)</f>
        <v>178.2</v>
      </c>
      <c r="H7" s="108">
        <v>27</v>
      </c>
      <c r="I7" s="109">
        <v>37</v>
      </c>
      <c r="J7" s="110">
        <v>108</v>
      </c>
      <c r="K7" s="111">
        <f>SUM(J7/F7*100)</f>
        <v>6.0606060606060597</v>
      </c>
      <c r="L7" s="112">
        <f>SUM(H7/G7*100)</f>
        <v>15.1515151515152</v>
      </c>
    </row>
    <row r="8" spans="1:12" ht="31.2">
      <c r="A8" s="186"/>
      <c r="B8" s="103" t="s">
        <v>93</v>
      </c>
      <c r="C8" s="104" t="s">
        <v>94</v>
      </c>
      <c r="D8" s="105">
        <v>1216</v>
      </c>
      <c r="E8" s="106">
        <f>SUM(D8*75/100)</f>
        <v>912</v>
      </c>
      <c r="F8" s="106">
        <f>SUM(E8*60/100)</f>
        <v>547.20000000000005</v>
      </c>
      <c r="G8" s="107">
        <f>SUM(F8/10)</f>
        <v>54.72</v>
      </c>
      <c r="H8" s="108">
        <v>10</v>
      </c>
      <c r="I8" s="109">
        <v>8</v>
      </c>
      <c r="J8" s="110">
        <v>35</v>
      </c>
      <c r="K8" s="111">
        <f>SUM(J8/F8*100)</f>
        <v>6.39619883040936</v>
      </c>
      <c r="L8" s="112">
        <f>SUM(H8/G8*100)</f>
        <v>18.274853801169598</v>
      </c>
    </row>
    <row r="9" spans="1:12" ht="26.25" customHeight="1">
      <c r="A9" s="186"/>
      <c r="B9" s="103" t="s">
        <v>95</v>
      </c>
      <c r="C9" s="103" t="s">
        <v>96</v>
      </c>
      <c r="D9" s="105">
        <v>1360</v>
      </c>
      <c r="E9" s="106">
        <f>SUM(D9*75/100)</f>
        <v>1020</v>
      </c>
      <c r="F9" s="106">
        <f>SUM(E9*60/100)</f>
        <v>612</v>
      </c>
      <c r="G9" s="107">
        <f>SUM(F9/10)</f>
        <v>61.2</v>
      </c>
      <c r="H9" s="108">
        <v>1</v>
      </c>
      <c r="I9" s="109">
        <v>0</v>
      </c>
      <c r="J9" s="110">
        <v>7</v>
      </c>
      <c r="K9" s="111">
        <f>SUM(J9/F9*100)</f>
        <v>1.1437908496732001</v>
      </c>
      <c r="L9" s="112">
        <f>SUM(H9/G9*100)</f>
        <v>1.63398692810458</v>
      </c>
    </row>
    <row r="10" spans="1:12" ht="30" customHeight="1">
      <c r="A10" s="179" t="s">
        <v>27</v>
      </c>
      <c r="B10" s="180"/>
      <c r="C10" s="181"/>
      <c r="D10" s="105">
        <f t="shared" ref="D10:J10" si="0">SUM(D7:D9)</f>
        <v>6536</v>
      </c>
      <c r="E10" s="106">
        <f t="shared" si="0"/>
        <v>4902</v>
      </c>
      <c r="F10" s="106">
        <f t="shared" si="0"/>
        <v>2941.2</v>
      </c>
      <c r="G10" s="107">
        <f t="shared" si="0"/>
        <v>294.12</v>
      </c>
      <c r="H10" s="108">
        <f t="shared" si="0"/>
        <v>38</v>
      </c>
      <c r="I10" s="109">
        <f t="shared" si="0"/>
        <v>45</v>
      </c>
      <c r="J10" s="110">
        <f t="shared" si="0"/>
        <v>150</v>
      </c>
      <c r="K10" s="182"/>
      <c r="L10" s="183"/>
    </row>
  </sheetData>
  <mergeCells count="17">
    <mergeCell ref="K5:K6"/>
    <mergeCell ref="L5:L6"/>
    <mergeCell ref="A1:L1"/>
    <mergeCell ref="K3:L3"/>
    <mergeCell ref="A10:C10"/>
    <mergeCell ref="K10:L10"/>
    <mergeCell ref="A5:A6"/>
    <mergeCell ref="A7:A9"/>
    <mergeCell ref="B5:B6"/>
    <mergeCell ref="C5:C6"/>
    <mergeCell ref="D5:D6"/>
    <mergeCell ref="E5:E6"/>
    <mergeCell ref="F5:F6"/>
    <mergeCell ref="G5:G6"/>
    <mergeCell ref="H5:H6"/>
    <mergeCell ref="I5:I6"/>
    <mergeCell ref="J5:J6"/>
  </mergeCells>
  <pageMargins left="0.7" right="0.7" top="0.75" bottom="0.75" header="0.3" footer="0.3"/>
  <pageSetup scale="66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5"/>
  <sheetViews>
    <sheetView workbookViewId="0">
      <selection activeCell="G5" sqref="G5"/>
    </sheetView>
  </sheetViews>
  <sheetFormatPr defaultColWidth="9" defaultRowHeight="14.4"/>
  <cols>
    <col min="1" max="1" width="4.88671875" style="93" customWidth="1"/>
    <col min="2" max="2" width="33.109375" customWidth="1"/>
    <col min="3" max="3" width="14.33203125" customWidth="1"/>
    <col min="4" max="4" width="14.5546875" customWidth="1"/>
    <col min="5" max="5" width="17.44140625" customWidth="1"/>
  </cols>
  <sheetData>
    <row r="1" spans="1:5" ht="15.6">
      <c r="A1" s="94" t="s">
        <v>97</v>
      </c>
      <c r="B1" s="95"/>
    </row>
    <row r="3" spans="1:5">
      <c r="A3" s="96">
        <v>1</v>
      </c>
      <c r="B3" s="23" t="s">
        <v>98</v>
      </c>
      <c r="C3" s="23" t="s">
        <v>99</v>
      </c>
      <c r="D3" s="23" t="s">
        <v>100</v>
      </c>
      <c r="E3" s="23" t="s">
        <v>101</v>
      </c>
    </row>
    <row r="4" spans="1:5">
      <c r="A4" s="96">
        <v>2</v>
      </c>
      <c r="B4" s="23" t="s">
        <v>102</v>
      </c>
      <c r="C4" s="23" t="s">
        <v>103</v>
      </c>
      <c r="D4" s="23" t="s">
        <v>104</v>
      </c>
      <c r="E4" s="23" t="s">
        <v>101</v>
      </c>
    </row>
    <row r="5" spans="1:5" ht="28.8">
      <c r="A5" s="96">
        <v>3</v>
      </c>
      <c r="B5" s="97" t="s">
        <v>105</v>
      </c>
      <c r="C5" s="98" t="s">
        <v>106</v>
      </c>
      <c r="D5" s="23" t="s">
        <v>107</v>
      </c>
      <c r="E5" s="23" t="s">
        <v>101</v>
      </c>
    </row>
    <row r="6" spans="1:5">
      <c r="A6" s="96">
        <v>4</v>
      </c>
      <c r="B6" s="23" t="s">
        <v>108</v>
      </c>
      <c r="C6" s="23" t="s">
        <v>109</v>
      </c>
      <c r="D6" s="23" t="s">
        <v>110</v>
      </c>
      <c r="E6" s="23" t="s">
        <v>111</v>
      </c>
    </row>
    <row r="7" spans="1:5">
      <c r="A7" s="96">
        <v>5</v>
      </c>
      <c r="B7" s="23" t="s">
        <v>112</v>
      </c>
      <c r="C7" s="23" t="s">
        <v>113</v>
      </c>
      <c r="D7" s="23" t="s">
        <v>114</v>
      </c>
      <c r="E7" s="23" t="s">
        <v>115</v>
      </c>
    </row>
    <row r="8" spans="1:5">
      <c r="A8" s="96">
        <v>6</v>
      </c>
      <c r="B8" s="23" t="s">
        <v>116</v>
      </c>
      <c r="C8" s="23" t="s">
        <v>117</v>
      </c>
      <c r="D8" s="23" t="s">
        <v>118</v>
      </c>
      <c r="E8" s="23" t="s">
        <v>63</v>
      </c>
    </row>
    <row r="9" spans="1:5">
      <c r="A9" s="96">
        <v>7</v>
      </c>
      <c r="B9" s="23" t="s">
        <v>119</v>
      </c>
      <c r="C9" s="23" t="s">
        <v>120</v>
      </c>
      <c r="D9" s="23" t="s">
        <v>121</v>
      </c>
      <c r="E9" s="23" t="s">
        <v>63</v>
      </c>
    </row>
    <row r="10" spans="1:5">
      <c r="A10" s="96">
        <v>8</v>
      </c>
      <c r="B10" s="23" t="s">
        <v>122</v>
      </c>
      <c r="C10" s="23" t="s">
        <v>123</v>
      </c>
      <c r="D10" s="23" t="s">
        <v>124</v>
      </c>
      <c r="E10" s="23" t="s">
        <v>63</v>
      </c>
    </row>
    <row r="11" spans="1:5">
      <c r="A11" s="96">
        <v>9</v>
      </c>
      <c r="B11" s="23" t="s">
        <v>125</v>
      </c>
      <c r="C11" s="23" t="s">
        <v>126</v>
      </c>
      <c r="D11" s="23" t="s">
        <v>127</v>
      </c>
      <c r="E11" s="23" t="s">
        <v>63</v>
      </c>
    </row>
    <row r="12" spans="1:5">
      <c r="A12" s="96">
        <v>10</v>
      </c>
      <c r="B12" s="23" t="s">
        <v>128</v>
      </c>
      <c r="C12" s="23" t="s">
        <v>129</v>
      </c>
      <c r="D12" s="23" t="s">
        <v>130</v>
      </c>
      <c r="E12" s="23" t="s">
        <v>63</v>
      </c>
    </row>
    <row r="13" spans="1:5">
      <c r="A13" s="96">
        <v>11</v>
      </c>
      <c r="B13" s="23" t="s">
        <v>131</v>
      </c>
      <c r="C13" s="23" t="s">
        <v>132</v>
      </c>
      <c r="D13" s="23" t="s">
        <v>133</v>
      </c>
      <c r="E13" s="23" t="s">
        <v>45</v>
      </c>
    </row>
    <row r="14" spans="1:5">
      <c r="A14" s="96">
        <v>12</v>
      </c>
      <c r="B14" s="23" t="s">
        <v>134</v>
      </c>
      <c r="C14" s="23" t="s">
        <v>135</v>
      </c>
      <c r="D14" s="23" t="s">
        <v>136</v>
      </c>
      <c r="E14" s="23" t="s">
        <v>45</v>
      </c>
    </row>
    <row r="15" spans="1:5">
      <c r="A15" s="96">
        <v>13</v>
      </c>
      <c r="B15" s="23" t="s">
        <v>137</v>
      </c>
      <c r="C15" s="23" t="s">
        <v>138</v>
      </c>
      <c r="D15" s="23" t="s">
        <v>139</v>
      </c>
      <c r="E15" s="23" t="s">
        <v>45</v>
      </c>
    </row>
    <row r="16" spans="1:5">
      <c r="A16" s="96">
        <v>14</v>
      </c>
      <c r="B16" s="23" t="s">
        <v>140</v>
      </c>
      <c r="C16" s="23" t="s">
        <v>141</v>
      </c>
      <c r="D16" s="23" t="s">
        <v>142</v>
      </c>
      <c r="E16" s="23" t="s">
        <v>45</v>
      </c>
    </row>
    <row r="17" spans="1:5">
      <c r="A17" s="96">
        <v>15</v>
      </c>
      <c r="B17" s="23" t="s">
        <v>143</v>
      </c>
      <c r="C17" s="23" t="s">
        <v>144</v>
      </c>
      <c r="D17" s="23" t="s">
        <v>145</v>
      </c>
      <c r="E17" s="23" t="s">
        <v>84</v>
      </c>
    </row>
    <row r="18" spans="1:5">
      <c r="A18" s="96">
        <v>16</v>
      </c>
      <c r="B18" s="23" t="s">
        <v>146</v>
      </c>
      <c r="C18" s="23" t="s">
        <v>147</v>
      </c>
      <c r="D18" s="23" t="s">
        <v>148</v>
      </c>
      <c r="E18" s="23" t="s">
        <v>59</v>
      </c>
    </row>
    <row r="19" spans="1:5">
      <c r="A19" s="96">
        <v>17</v>
      </c>
      <c r="B19" s="23" t="s">
        <v>149</v>
      </c>
      <c r="C19" s="23" t="s">
        <v>150</v>
      </c>
      <c r="D19" s="23" t="s">
        <v>151</v>
      </c>
      <c r="E19" s="23" t="s">
        <v>59</v>
      </c>
    </row>
    <row r="20" spans="1:5">
      <c r="A20" s="96">
        <v>18</v>
      </c>
      <c r="B20" s="23" t="s">
        <v>152</v>
      </c>
      <c r="C20" s="23" t="s">
        <v>153</v>
      </c>
      <c r="D20" s="23" t="s">
        <v>154</v>
      </c>
      <c r="E20" s="23" t="s">
        <v>155</v>
      </c>
    </row>
    <row r="21" spans="1:5">
      <c r="A21" s="96">
        <v>19</v>
      </c>
      <c r="B21" s="23" t="s">
        <v>156</v>
      </c>
      <c r="C21" s="23" t="s">
        <v>157</v>
      </c>
      <c r="D21" s="23" t="s">
        <v>158</v>
      </c>
      <c r="E21" s="23" t="s">
        <v>155</v>
      </c>
    </row>
    <row r="22" spans="1:5">
      <c r="A22" s="96">
        <v>20</v>
      </c>
      <c r="B22" s="23" t="s">
        <v>159</v>
      </c>
      <c r="C22" s="23" t="s">
        <v>160</v>
      </c>
      <c r="D22" s="23" t="s">
        <v>161</v>
      </c>
      <c r="E22" s="23" t="s">
        <v>162</v>
      </c>
    </row>
    <row r="23" spans="1:5">
      <c r="A23" s="96">
        <v>21</v>
      </c>
      <c r="B23" s="23" t="s">
        <v>163</v>
      </c>
      <c r="C23" s="23" t="s">
        <v>164</v>
      </c>
      <c r="D23" s="23" t="s">
        <v>165</v>
      </c>
      <c r="E23" s="23" t="s">
        <v>162</v>
      </c>
    </row>
    <row r="24" spans="1:5">
      <c r="A24" s="96">
        <v>22</v>
      </c>
      <c r="B24" s="23" t="s">
        <v>166</v>
      </c>
      <c r="C24" s="23" t="s">
        <v>167</v>
      </c>
      <c r="D24" s="23" t="s">
        <v>168</v>
      </c>
      <c r="E24" s="23" t="s">
        <v>162</v>
      </c>
    </row>
    <row r="25" spans="1:5">
      <c r="A25" s="96">
        <v>23</v>
      </c>
      <c r="B25" s="23" t="s">
        <v>169</v>
      </c>
      <c r="C25" s="23" t="s">
        <v>170</v>
      </c>
      <c r="D25" s="23" t="s">
        <v>171</v>
      </c>
      <c r="E25" s="23" t="s">
        <v>162</v>
      </c>
    </row>
    <row r="26" spans="1:5">
      <c r="A26" s="96">
        <v>24</v>
      </c>
      <c r="B26" s="23" t="s">
        <v>172</v>
      </c>
      <c r="C26" s="23" t="s">
        <v>173</v>
      </c>
      <c r="D26" s="23" t="s">
        <v>174</v>
      </c>
      <c r="E26" s="23" t="s">
        <v>162</v>
      </c>
    </row>
    <row r="27" spans="1:5">
      <c r="A27" s="96">
        <v>25</v>
      </c>
      <c r="B27" s="23" t="s">
        <v>175</v>
      </c>
      <c r="C27" s="23" t="s">
        <v>176</v>
      </c>
      <c r="D27" s="23" t="s">
        <v>177</v>
      </c>
      <c r="E27" s="23" t="s">
        <v>162</v>
      </c>
    </row>
    <row r="28" spans="1:5">
      <c r="A28" s="96">
        <v>26</v>
      </c>
      <c r="B28" s="23" t="s">
        <v>178</v>
      </c>
      <c r="C28" s="23" t="s">
        <v>179</v>
      </c>
      <c r="D28" s="23" t="s">
        <v>180</v>
      </c>
      <c r="E28" s="23" t="s">
        <v>162</v>
      </c>
    </row>
    <row r="29" spans="1:5">
      <c r="A29" s="96">
        <v>27</v>
      </c>
      <c r="B29" s="23" t="s">
        <v>181</v>
      </c>
      <c r="C29" s="23" t="s">
        <v>182</v>
      </c>
      <c r="D29" s="23" t="s">
        <v>183</v>
      </c>
      <c r="E29" s="23" t="s">
        <v>162</v>
      </c>
    </row>
    <row r="30" spans="1:5">
      <c r="A30" s="96">
        <v>28</v>
      </c>
      <c r="B30" s="23" t="s">
        <v>184</v>
      </c>
      <c r="C30" s="23">
        <v>178360981</v>
      </c>
      <c r="D30" s="23" t="s">
        <v>185</v>
      </c>
      <c r="E30" s="23" t="s">
        <v>186</v>
      </c>
    </row>
    <row r="31" spans="1:5">
      <c r="A31" s="96">
        <v>29</v>
      </c>
      <c r="B31" s="23" t="s">
        <v>187</v>
      </c>
      <c r="C31" s="23"/>
      <c r="D31" s="23" t="s">
        <v>188</v>
      </c>
      <c r="E31" s="23" t="s">
        <v>186</v>
      </c>
    </row>
    <row r="32" spans="1:5">
      <c r="A32" s="96">
        <v>30</v>
      </c>
      <c r="B32" s="23" t="s">
        <v>189</v>
      </c>
      <c r="C32" s="23" t="s">
        <v>190</v>
      </c>
      <c r="D32" s="23" t="s">
        <v>191</v>
      </c>
      <c r="E32" s="23" t="s">
        <v>93</v>
      </c>
    </row>
    <row r="33" spans="1:5">
      <c r="A33" s="96">
        <v>31</v>
      </c>
      <c r="B33" s="23" t="s">
        <v>192</v>
      </c>
      <c r="C33" s="23" t="s">
        <v>193</v>
      </c>
      <c r="D33" s="23" t="s">
        <v>194</v>
      </c>
      <c r="E33" s="23" t="s">
        <v>93</v>
      </c>
    </row>
    <row r="34" spans="1:5">
      <c r="A34" s="96">
        <v>32</v>
      </c>
      <c r="B34" s="23" t="s">
        <v>195</v>
      </c>
      <c r="C34" s="23" t="s">
        <v>196</v>
      </c>
      <c r="D34" s="23" t="s">
        <v>197</v>
      </c>
      <c r="E34" s="23" t="s">
        <v>93</v>
      </c>
    </row>
    <row r="35" spans="1:5">
      <c r="A35" s="96">
        <v>33</v>
      </c>
      <c r="B35" s="23" t="s">
        <v>198</v>
      </c>
      <c r="C35" s="23" t="s">
        <v>199</v>
      </c>
      <c r="D35" s="23" t="s">
        <v>200</v>
      </c>
      <c r="E35" s="23" t="s">
        <v>93</v>
      </c>
    </row>
    <row r="36" spans="1:5">
      <c r="A36" s="96">
        <v>34</v>
      </c>
      <c r="B36" s="23" t="s">
        <v>201</v>
      </c>
      <c r="C36" s="23" t="s">
        <v>202</v>
      </c>
      <c r="D36" s="23" t="s">
        <v>203</v>
      </c>
      <c r="E36" s="23" t="s">
        <v>95</v>
      </c>
    </row>
    <row r="37" spans="1:5">
      <c r="A37" s="96">
        <v>35</v>
      </c>
      <c r="B37" s="23" t="s">
        <v>204</v>
      </c>
      <c r="C37" s="23" t="s">
        <v>205</v>
      </c>
      <c r="D37" s="23" t="s">
        <v>206</v>
      </c>
      <c r="E37" s="23" t="s">
        <v>95</v>
      </c>
    </row>
    <row r="38" spans="1:5">
      <c r="A38" s="96">
        <v>36</v>
      </c>
      <c r="B38" s="23" t="s">
        <v>207</v>
      </c>
      <c r="C38" s="23" t="s">
        <v>208</v>
      </c>
      <c r="D38" s="23" t="s">
        <v>209</v>
      </c>
      <c r="E38" s="23" t="s">
        <v>111</v>
      </c>
    </row>
    <row r="39" spans="1:5">
      <c r="A39" s="96">
        <v>37</v>
      </c>
      <c r="B39" s="23" t="s">
        <v>210</v>
      </c>
      <c r="C39" s="23" t="s">
        <v>211</v>
      </c>
      <c r="D39" s="23" t="s">
        <v>212</v>
      </c>
      <c r="E39" s="23" t="s">
        <v>111</v>
      </c>
    </row>
    <row r="40" spans="1:5">
      <c r="A40" s="96">
        <v>38</v>
      </c>
      <c r="B40" s="23" t="s">
        <v>213</v>
      </c>
      <c r="C40" s="23" t="s">
        <v>214</v>
      </c>
      <c r="D40" s="23" t="s">
        <v>215</v>
      </c>
      <c r="E40" s="23" t="s">
        <v>111</v>
      </c>
    </row>
    <row r="41" spans="1:5">
      <c r="A41" s="96">
        <v>39</v>
      </c>
      <c r="B41" s="23" t="s">
        <v>216</v>
      </c>
      <c r="C41" s="23" t="s">
        <v>217</v>
      </c>
      <c r="D41" s="23" t="s">
        <v>218</v>
      </c>
      <c r="E41" s="23" t="s">
        <v>111</v>
      </c>
    </row>
    <row r="42" spans="1:5">
      <c r="A42" s="96">
        <v>40</v>
      </c>
      <c r="B42" s="23" t="s">
        <v>219</v>
      </c>
      <c r="C42" s="23" t="s">
        <v>220</v>
      </c>
      <c r="D42" s="23" t="s">
        <v>221</v>
      </c>
      <c r="E42" s="23" t="s">
        <v>111</v>
      </c>
    </row>
    <row r="43" spans="1:5">
      <c r="A43" s="96">
        <v>41</v>
      </c>
      <c r="B43" s="23" t="s">
        <v>222</v>
      </c>
      <c r="C43" s="23" t="s">
        <v>223</v>
      </c>
      <c r="D43" s="23" t="s">
        <v>224</v>
      </c>
      <c r="E43" s="23" t="s">
        <v>111</v>
      </c>
    </row>
    <row r="44" spans="1:5">
      <c r="A44" s="96">
        <v>42</v>
      </c>
      <c r="B44" s="23" t="s">
        <v>225</v>
      </c>
      <c r="C44" s="23" t="s">
        <v>226</v>
      </c>
      <c r="D44" s="23" t="s">
        <v>227</v>
      </c>
      <c r="E44" s="23" t="s">
        <v>111</v>
      </c>
    </row>
    <row r="45" spans="1:5">
      <c r="A45" s="96">
        <v>43</v>
      </c>
      <c r="B45" s="23" t="s">
        <v>228</v>
      </c>
      <c r="C45" s="23" t="s">
        <v>229</v>
      </c>
      <c r="D45" s="23" t="s">
        <v>230</v>
      </c>
      <c r="E45" s="23" t="s">
        <v>80</v>
      </c>
    </row>
    <row r="46" spans="1:5">
      <c r="A46" s="96">
        <v>44</v>
      </c>
      <c r="B46" s="23" t="s">
        <v>231</v>
      </c>
      <c r="C46" s="23" t="s">
        <v>232</v>
      </c>
      <c r="D46" s="23" t="s">
        <v>233</v>
      </c>
      <c r="E46" s="23" t="s">
        <v>80</v>
      </c>
    </row>
    <row r="47" spans="1:5">
      <c r="A47" s="96">
        <v>45</v>
      </c>
      <c r="B47" s="23" t="s">
        <v>234</v>
      </c>
      <c r="C47" s="23" t="s">
        <v>235</v>
      </c>
      <c r="D47" s="23" t="s">
        <v>236</v>
      </c>
      <c r="E47" s="23" t="s">
        <v>80</v>
      </c>
    </row>
    <row r="48" spans="1:5">
      <c r="A48" s="96">
        <v>46</v>
      </c>
      <c r="B48" s="23" t="s">
        <v>237</v>
      </c>
      <c r="C48" s="23" t="s">
        <v>238</v>
      </c>
      <c r="D48" s="23" t="s">
        <v>239</v>
      </c>
      <c r="E48" s="23" t="s">
        <v>80</v>
      </c>
    </row>
    <row r="49" spans="1:5">
      <c r="A49" s="96">
        <v>47</v>
      </c>
      <c r="B49" s="23" t="s">
        <v>240</v>
      </c>
      <c r="C49" s="23" t="s">
        <v>241</v>
      </c>
      <c r="D49" s="23" t="s">
        <v>242</v>
      </c>
      <c r="E49" s="23" t="s">
        <v>69</v>
      </c>
    </row>
    <row r="50" spans="1:5">
      <c r="A50" s="96">
        <v>48</v>
      </c>
      <c r="B50" s="23" t="s">
        <v>243</v>
      </c>
      <c r="C50" s="23" t="s">
        <v>244</v>
      </c>
      <c r="D50" s="23" t="s">
        <v>245</v>
      </c>
      <c r="E50" s="23" t="s">
        <v>69</v>
      </c>
    </row>
    <row r="51" spans="1:5">
      <c r="A51" s="96">
        <v>49</v>
      </c>
      <c r="B51" s="23" t="s">
        <v>246</v>
      </c>
      <c r="C51" s="23" t="s">
        <v>247</v>
      </c>
      <c r="D51" s="23" t="s">
        <v>248</v>
      </c>
      <c r="E51" s="23" t="s">
        <v>82</v>
      </c>
    </row>
    <row r="52" spans="1:5">
      <c r="A52" s="96">
        <v>50</v>
      </c>
      <c r="B52" s="23" t="s">
        <v>83</v>
      </c>
      <c r="C52" s="23" t="s">
        <v>249</v>
      </c>
      <c r="D52" s="23" t="s">
        <v>250</v>
      </c>
      <c r="E52" s="23" t="s">
        <v>82</v>
      </c>
    </row>
    <row r="53" spans="1:5">
      <c r="A53" s="96">
        <v>51</v>
      </c>
      <c r="B53" s="23" t="s">
        <v>251</v>
      </c>
      <c r="C53" s="23" t="s">
        <v>252</v>
      </c>
      <c r="D53" s="23" t="s">
        <v>253</v>
      </c>
      <c r="E53" s="23" t="s">
        <v>71</v>
      </c>
    </row>
    <row r="54" spans="1:5">
      <c r="A54" s="96">
        <v>52</v>
      </c>
      <c r="B54" s="23" t="s">
        <v>254</v>
      </c>
      <c r="C54" s="23" t="s">
        <v>255</v>
      </c>
      <c r="D54" s="23" t="s">
        <v>256</v>
      </c>
      <c r="E54" s="23" t="s">
        <v>71</v>
      </c>
    </row>
    <row r="55" spans="1:5">
      <c r="A55" s="96">
        <v>53</v>
      </c>
      <c r="B55" s="23" t="s">
        <v>257</v>
      </c>
      <c r="C55" s="23" t="s">
        <v>258</v>
      </c>
      <c r="D55" s="23" t="s">
        <v>259</v>
      </c>
      <c r="E55" s="23" t="s">
        <v>101</v>
      </c>
    </row>
    <row r="56" spans="1:5">
      <c r="A56" s="96">
        <v>54</v>
      </c>
      <c r="B56" s="23" t="s">
        <v>260</v>
      </c>
      <c r="C56" s="23" t="s">
        <v>261</v>
      </c>
      <c r="D56" s="23" t="s">
        <v>262</v>
      </c>
      <c r="E56" s="23" t="s">
        <v>101</v>
      </c>
    </row>
    <row r="57" spans="1:5">
      <c r="A57" s="96">
        <v>55</v>
      </c>
      <c r="B57" s="23" t="s">
        <v>263</v>
      </c>
      <c r="C57" s="23" t="s">
        <v>264</v>
      </c>
      <c r="D57" s="23" t="s">
        <v>265</v>
      </c>
      <c r="E57" s="23" t="s">
        <v>115</v>
      </c>
    </row>
    <row r="58" spans="1:5">
      <c r="A58" s="96">
        <v>56</v>
      </c>
      <c r="B58" s="23" t="s">
        <v>266</v>
      </c>
      <c r="C58" s="23" t="s">
        <v>267</v>
      </c>
      <c r="D58" s="23" t="s">
        <v>268</v>
      </c>
      <c r="E58" s="23" t="s">
        <v>115</v>
      </c>
    </row>
    <row r="59" spans="1:5">
      <c r="A59" s="96">
        <v>57</v>
      </c>
      <c r="B59" s="23" t="s">
        <v>269</v>
      </c>
      <c r="C59" s="23" t="s">
        <v>270</v>
      </c>
      <c r="D59" s="23" t="s">
        <v>271</v>
      </c>
      <c r="E59" s="23" t="s">
        <v>115</v>
      </c>
    </row>
    <row r="60" spans="1:5">
      <c r="A60" s="96">
        <v>58</v>
      </c>
      <c r="B60" s="23" t="s">
        <v>272</v>
      </c>
      <c r="C60" s="23" t="s">
        <v>273</v>
      </c>
      <c r="D60" s="23" t="s">
        <v>274</v>
      </c>
      <c r="E60" s="23" t="s">
        <v>115</v>
      </c>
    </row>
    <row r="61" spans="1:5">
      <c r="A61" s="96">
        <v>59</v>
      </c>
      <c r="B61" s="23" t="s">
        <v>275</v>
      </c>
      <c r="C61" s="23" t="s">
        <v>276</v>
      </c>
      <c r="D61" s="23" t="s">
        <v>277</v>
      </c>
      <c r="E61" s="23" t="s">
        <v>278</v>
      </c>
    </row>
    <row r="62" spans="1:5">
      <c r="A62" s="96">
        <v>60</v>
      </c>
      <c r="B62" s="23" t="s">
        <v>279</v>
      </c>
      <c r="C62" s="23" t="s">
        <v>280</v>
      </c>
      <c r="D62" s="23" t="s">
        <v>281</v>
      </c>
      <c r="E62" s="23" t="s">
        <v>278</v>
      </c>
    </row>
    <row r="63" spans="1:5">
      <c r="A63" s="96">
        <v>61</v>
      </c>
      <c r="B63" s="23" t="s">
        <v>282</v>
      </c>
      <c r="C63" s="23" t="s">
        <v>283</v>
      </c>
      <c r="D63" s="23" t="s">
        <v>284</v>
      </c>
      <c r="E63" s="23" t="s">
        <v>278</v>
      </c>
    </row>
    <row r="64" spans="1:5">
      <c r="A64" s="96">
        <v>62</v>
      </c>
      <c r="B64" s="23" t="s">
        <v>285</v>
      </c>
      <c r="C64" s="23" t="s">
        <v>286</v>
      </c>
      <c r="D64" s="23" t="s">
        <v>287</v>
      </c>
      <c r="E64" s="23" t="s">
        <v>278</v>
      </c>
    </row>
    <row r="65" spans="1:5">
      <c r="A65" s="96">
        <v>63</v>
      </c>
      <c r="B65" s="23" t="s">
        <v>288</v>
      </c>
      <c r="C65" s="23" t="s">
        <v>289</v>
      </c>
      <c r="D65" s="23" t="s">
        <v>290</v>
      </c>
      <c r="E65" s="23" t="s">
        <v>73</v>
      </c>
    </row>
    <row r="66" spans="1:5">
      <c r="A66" s="96">
        <v>64</v>
      </c>
      <c r="B66" s="23" t="s">
        <v>291</v>
      </c>
      <c r="C66" s="23" t="s">
        <v>292</v>
      </c>
      <c r="D66" s="23" t="s">
        <v>293</v>
      </c>
      <c r="E66" s="23" t="s">
        <v>73</v>
      </c>
    </row>
    <row r="67" spans="1:5">
      <c r="A67" s="96">
        <v>65</v>
      </c>
      <c r="B67" s="23" t="s">
        <v>294</v>
      </c>
      <c r="C67" s="23" t="s">
        <v>295</v>
      </c>
      <c r="D67" s="23" t="s">
        <v>296</v>
      </c>
      <c r="E67" s="23" t="s">
        <v>73</v>
      </c>
    </row>
    <row r="68" spans="1:5">
      <c r="A68" s="96">
        <v>66</v>
      </c>
      <c r="B68" s="23" t="s">
        <v>297</v>
      </c>
      <c r="C68" s="23" t="s">
        <v>298</v>
      </c>
      <c r="D68" s="23" t="s">
        <v>299</v>
      </c>
      <c r="E68" s="23" t="s">
        <v>73</v>
      </c>
    </row>
    <row r="69" spans="1:5">
      <c r="A69" s="96">
        <v>67</v>
      </c>
      <c r="B69" s="23" t="s">
        <v>300</v>
      </c>
      <c r="C69" s="23" t="s">
        <v>301</v>
      </c>
      <c r="D69" s="23" t="s">
        <v>302</v>
      </c>
      <c r="E69" s="23" t="s">
        <v>73</v>
      </c>
    </row>
    <row r="70" spans="1:5">
      <c r="A70" s="96">
        <v>68</v>
      </c>
      <c r="B70" s="23" t="s">
        <v>303</v>
      </c>
      <c r="C70" s="23" t="s">
        <v>304</v>
      </c>
      <c r="D70" s="23" t="s">
        <v>305</v>
      </c>
      <c r="E70" s="23" t="s">
        <v>48</v>
      </c>
    </row>
    <row r="71" spans="1:5">
      <c r="A71" s="96">
        <v>69</v>
      </c>
      <c r="B71" s="23" t="s">
        <v>306</v>
      </c>
      <c r="C71" s="23" t="s">
        <v>307</v>
      </c>
      <c r="D71" s="23" t="s">
        <v>308</v>
      </c>
      <c r="E71" s="23" t="s">
        <v>48</v>
      </c>
    </row>
    <row r="72" spans="1:5">
      <c r="A72" s="96">
        <v>70</v>
      </c>
      <c r="B72" s="23" t="s">
        <v>309</v>
      </c>
      <c r="C72" s="23" t="s">
        <v>310</v>
      </c>
      <c r="D72" s="23" t="s">
        <v>311</v>
      </c>
      <c r="E72" s="23" t="s">
        <v>48</v>
      </c>
    </row>
    <row r="73" spans="1:5">
      <c r="A73" s="96">
        <v>71</v>
      </c>
      <c r="B73" s="23" t="s">
        <v>312</v>
      </c>
      <c r="C73" s="23" t="s">
        <v>313</v>
      </c>
      <c r="D73" s="23" t="s">
        <v>314</v>
      </c>
      <c r="E73" s="23" t="s">
        <v>48</v>
      </c>
    </row>
    <row r="74" spans="1:5">
      <c r="A74" s="96">
        <v>72</v>
      </c>
      <c r="B74" s="23" t="s">
        <v>315</v>
      </c>
      <c r="C74" s="23" t="s">
        <v>316</v>
      </c>
      <c r="D74" s="23" t="s">
        <v>317</v>
      </c>
      <c r="E74" s="23" t="s">
        <v>84</v>
      </c>
    </row>
    <row r="75" spans="1:5">
      <c r="A75" s="96">
        <v>73</v>
      </c>
      <c r="B75" s="23" t="s">
        <v>318</v>
      </c>
      <c r="C75" s="23">
        <v>197027399</v>
      </c>
      <c r="D75" s="23" t="s">
        <v>319</v>
      </c>
      <c r="E75" s="23" t="s">
        <v>82</v>
      </c>
    </row>
    <row r="76" spans="1:5">
      <c r="A76" s="96">
        <v>74</v>
      </c>
      <c r="B76" s="23" t="s">
        <v>320</v>
      </c>
      <c r="C76" s="23" t="s">
        <v>321</v>
      </c>
      <c r="D76" s="23" t="s">
        <v>322</v>
      </c>
      <c r="E76" s="23" t="s">
        <v>84</v>
      </c>
    </row>
    <row r="77" spans="1:5">
      <c r="A77" s="96">
        <v>75</v>
      </c>
      <c r="B77" s="23" t="s">
        <v>323</v>
      </c>
      <c r="C77" s="23" t="s">
        <v>324</v>
      </c>
      <c r="D77" s="23"/>
      <c r="E77" s="23" t="s">
        <v>101</v>
      </c>
    </row>
    <row r="78" spans="1:5">
      <c r="A78" s="96">
        <v>76</v>
      </c>
      <c r="B78" s="23" t="s">
        <v>325</v>
      </c>
      <c r="C78" s="23" t="s">
        <v>326</v>
      </c>
      <c r="D78" s="23"/>
      <c r="E78" s="23" t="s">
        <v>101</v>
      </c>
    </row>
    <row r="79" spans="1:5">
      <c r="A79" s="96">
        <v>77</v>
      </c>
      <c r="B79" s="23" t="s">
        <v>327</v>
      </c>
      <c r="C79" s="23" t="s">
        <v>328</v>
      </c>
      <c r="D79" s="23"/>
      <c r="E79" s="23" t="s">
        <v>101</v>
      </c>
    </row>
    <row r="80" spans="1:5">
      <c r="A80" s="96">
        <v>78</v>
      </c>
      <c r="B80" s="23" t="s">
        <v>329</v>
      </c>
      <c r="C80" s="23" t="s">
        <v>330</v>
      </c>
      <c r="D80" s="23"/>
      <c r="E80" s="23" t="s">
        <v>101</v>
      </c>
    </row>
    <row r="81" spans="1:5">
      <c r="A81" s="96">
        <v>79</v>
      </c>
      <c r="B81" s="23" t="s">
        <v>331</v>
      </c>
      <c r="C81" s="23" t="s">
        <v>332</v>
      </c>
      <c r="D81" s="23"/>
      <c r="E81" s="23" t="s">
        <v>101</v>
      </c>
    </row>
    <row r="82" spans="1:5">
      <c r="A82" s="96">
        <v>80</v>
      </c>
      <c r="B82" s="23" t="s">
        <v>333</v>
      </c>
      <c r="C82" s="23" t="s">
        <v>334</v>
      </c>
      <c r="D82" s="23"/>
      <c r="E82" s="23" t="s">
        <v>101</v>
      </c>
    </row>
    <row r="83" spans="1:5">
      <c r="A83" s="96">
        <v>81</v>
      </c>
      <c r="B83" s="23" t="s">
        <v>335</v>
      </c>
      <c r="C83" s="23" t="s">
        <v>336</v>
      </c>
      <c r="D83" s="23"/>
      <c r="E83" s="23" t="s">
        <v>101</v>
      </c>
    </row>
    <row r="84" spans="1:5">
      <c r="A84" s="96">
        <v>82</v>
      </c>
      <c r="B84" s="23" t="s">
        <v>337</v>
      </c>
      <c r="C84" s="23" t="s">
        <v>338</v>
      </c>
      <c r="D84" s="23"/>
      <c r="E84" s="23" t="s">
        <v>339</v>
      </c>
    </row>
    <row r="85" spans="1:5">
      <c r="A85" s="96">
        <v>83</v>
      </c>
      <c r="B85" s="23" t="s">
        <v>340</v>
      </c>
      <c r="C85" s="23" t="s">
        <v>341</v>
      </c>
      <c r="D85" s="23"/>
      <c r="E85" s="23" t="s">
        <v>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20"/>
  <sheetViews>
    <sheetView zoomScale="80" zoomScaleNormal="80" workbookViewId="0">
      <pane ySplit="1" topLeftCell="A2" activePane="bottomLeft" state="frozen"/>
      <selection pane="bottomLeft" activeCell="AH15" sqref="AH15"/>
    </sheetView>
  </sheetViews>
  <sheetFormatPr defaultColWidth="9" defaultRowHeight="14.4"/>
  <cols>
    <col min="1" max="1" width="10.88671875" customWidth="1"/>
    <col min="2" max="2" width="22.88671875" customWidth="1"/>
    <col min="3" max="3" width="20.44140625" customWidth="1"/>
    <col min="4" max="4" width="11.44140625" customWidth="1"/>
    <col min="5" max="5" width="15" customWidth="1"/>
    <col min="6" max="6" width="9.88671875" customWidth="1"/>
    <col min="7" max="7" width="12.109375" customWidth="1"/>
    <col min="8" max="8" width="3.6640625" customWidth="1"/>
    <col min="9" max="9" width="4" style="1" customWidth="1"/>
    <col min="10" max="10" width="3.6640625" style="1" customWidth="1"/>
    <col min="11" max="11" width="3.44140625" customWidth="1"/>
    <col min="12" max="12" width="3.33203125" customWidth="1"/>
    <col min="13" max="13" width="3.6640625" customWidth="1"/>
    <col min="14" max="14" width="3.33203125" customWidth="1"/>
    <col min="15" max="15" width="3.88671875" customWidth="1"/>
    <col min="16" max="16" width="3.6640625" customWidth="1"/>
    <col min="17" max="18" width="3.88671875" customWidth="1"/>
    <col min="19" max="20" width="4" customWidth="1"/>
    <col min="21" max="21" width="3.6640625" customWidth="1"/>
    <col min="22" max="23" width="3.5546875" customWidth="1"/>
    <col min="24" max="24" width="3.6640625" customWidth="1"/>
    <col min="25" max="25" width="3.88671875" customWidth="1"/>
    <col min="26" max="26" width="3.44140625" customWidth="1"/>
    <col min="27" max="29" width="3.5546875" customWidth="1"/>
    <col min="30" max="30" width="3.88671875" customWidth="1"/>
  </cols>
  <sheetData>
    <row r="1" spans="1:30" ht="26.25" customHeight="1">
      <c r="A1" s="2" t="s">
        <v>342</v>
      </c>
    </row>
    <row r="2" spans="1:30" ht="24.75" customHeight="1">
      <c r="H2" s="237" t="s">
        <v>343</v>
      </c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  <c r="Y2" s="238"/>
      <c r="Z2" s="238"/>
      <c r="AA2" s="238"/>
      <c r="AB2" s="238"/>
      <c r="AC2" s="238"/>
      <c r="AD2" s="239"/>
    </row>
    <row r="3" spans="1:30" ht="32.25" customHeight="1">
      <c r="A3" s="243" t="s">
        <v>2</v>
      </c>
      <c r="B3" s="248" t="s">
        <v>35</v>
      </c>
      <c r="C3" s="250" t="s">
        <v>344</v>
      </c>
      <c r="D3" s="267" t="s">
        <v>3</v>
      </c>
      <c r="E3" s="269" t="s">
        <v>4</v>
      </c>
      <c r="F3" s="267" t="s">
        <v>6</v>
      </c>
      <c r="G3" s="271" t="s">
        <v>7</v>
      </c>
      <c r="H3" s="273">
        <v>9</v>
      </c>
      <c r="I3" s="275">
        <v>10</v>
      </c>
      <c r="J3" s="275">
        <v>11</v>
      </c>
      <c r="K3" s="275">
        <v>12</v>
      </c>
      <c r="L3" s="275">
        <v>13</v>
      </c>
      <c r="M3" s="275">
        <v>14</v>
      </c>
      <c r="N3" s="275">
        <v>15</v>
      </c>
      <c r="O3" s="275">
        <v>16</v>
      </c>
      <c r="P3" s="277">
        <v>17</v>
      </c>
      <c r="Q3" s="277">
        <v>18</v>
      </c>
      <c r="R3" s="277">
        <v>19</v>
      </c>
      <c r="S3" s="277">
        <v>20</v>
      </c>
      <c r="T3" s="277">
        <v>21</v>
      </c>
      <c r="U3" s="279">
        <v>22</v>
      </c>
      <c r="V3" s="279">
        <v>23</v>
      </c>
      <c r="W3" s="279">
        <v>24</v>
      </c>
      <c r="X3" s="279">
        <v>25</v>
      </c>
      <c r="Y3" s="279">
        <v>26</v>
      </c>
      <c r="Z3" s="279">
        <v>27</v>
      </c>
      <c r="AA3" s="279">
        <v>28</v>
      </c>
      <c r="AB3" s="279">
        <v>29</v>
      </c>
      <c r="AC3" s="279">
        <v>30</v>
      </c>
      <c r="AD3" s="281">
        <v>31</v>
      </c>
    </row>
    <row r="4" spans="1:30">
      <c r="A4" s="244"/>
      <c r="B4" s="249"/>
      <c r="C4" s="251"/>
      <c r="D4" s="268"/>
      <c r="E4" s="270"/>
      <c r="F4" s="268"/>
      <c r="G4" s="272"/>
      <c r="H4" s="274"/>
      <c r="I4" s="276"/>
      <c r="J4" s="276"/>
      <c r="K4" s="276"/>
      <c r="L4" s="276"/>
      <c r="M4" s="276"/>
      <c r="N4" s="276"/>
      <c r="O4" s="276"/>
      <c r="P4" s="278"/>
      <c r="Q4" s="278"/>
      <c r="R4" s="278"/>
      <c r="S4" s="278"/>
      <c r="T4" s="278"/>
      <c r="U4" s="280"/>
      <c r="V4" s="280"/>
      <c r="W4" s="280"/>
      <c r="X4" s="280"/>
      <c r="Y4" s="280"/>
      <c r="Z4" s="280"/>
      <c r="AA4" s="280"/>
      <c r="AB4" s="280"/>
      <c r="AC4" s="280"/>
      <c r="AD4" s="282"/>
    </row>
    <row r="5" spans="1:30">
      <c r="A5" s="245" t="s">
        <v>91</v>
      </c>
      <c r="B5" s="3" t="s">
        <v>345</v>
      </c>
      <c r="C5" s="252" t="s">
        <v>346</v>
      </c>
      <c r="D5" s="4">
        <v>3960</v>
      </c>
      <c r="E5" s="5">
        <f t="shared" ref="E5:E19" si="0">SUM(D5*78/100)</f>
        <v>3088.8</v>
      </c>
      <c r="F5" s="6">
        <f t="shared" ref="F5:F19" si="1">SUM(E5*62/100)</f>
        <v>1915.056</v>
      </c>
      <c r="G5" s="6">
        <f t="shared" ref="G5:G19" si="2">SUM(F5/10)</f>
        <v>191.50559999999999</v>
      </c>
      <c r="H5" s="7"/>
      <c r="I5" s="8"/>
      <c r="J5" s="8"/>
      <c r="K5" s="8"/>
      <c r="L5" s="9" t="s">
        <v>347</v>
      </c>
      <c r="M5" s="8"/>
      <c r="N5" s="8"/>
      <c r="O5" s="10"/>
      <c r="P5" s="10"/>
      <c r="Q5" s="10"/>
      <c r="R5" s="10"/>
      <c r="S5" s="11"/>
      <c r="T5" s="11"/>
      <c r="U5" s="12"/>
      <c r="V5" s="12"/>
      <c r="W5" s="12"/>
      <c r="X5" s="12"/>
      <c r="Y5" s="12"/>
      <c r="Z5" s="12"/>
      <c r="AA5" s="12"/>
      <c r="AB5" s="12"/>
      <c r="AC5" s="12"/>
      <c r="AD5" s="13"/>
    </row>
    <row r="6" spans="1:30">
      <c r="A6" s="246"/>
      <c r="B6" s="14" t="s">
        <v>348</v>
      </c>
      <c r="C6" s="253"/>
      <c r="D6" s="15">
        <v>1216</v>
      </c>
      <c r="E6" s="16">
        <f t="shared" si="0"/>
        <v>948.48</v>
      </c>
      <c r="F6" s="17">
        <f t="shared" si="1"/>
        <v>588.05759999999998</v>
      </c>
      <c r="G6" s="17">
        <f t="shared" si="2"/>
        <v>58.805759999999999</v>
      </c>
      <c r="H6" s="18"/>
      <c r="I6" s="19"/>
      <c r="J6" s="19"/>
      <c r="K6" s="19"/>
      <c r="L6" s="20" t="s">
        <v>347</v>
      </c>
      <c r="M6" s="19"/>
      <c r="N6" s="19"/>
      <c r="O6" s="21"/>
      <c r="P6" s="21"/>
      <c r="Q6" s="21"/>
      <c r="R6" s="21"/>
      <c r="S6" s="22"/>
      <c r="T6" s="22"/>
      <c r="U6" s="23"/>
      <c r="V6" s="23"/>
      <c r="W6" s="23"/>
      <c r="X6" s="23"/>
      <c r="Y6" s="23"/>
      <c r="Z6" s="23"/>
      <c r="AA6" s="23"/>
      <c r="AB6" s="23"/>
      <c r="AC6" s="23"/>
      <c r="AD6" s="24"/>
    </row>
    <row r="7" spans="1:30">
      <c r="A7" s="246"/>
      <c r="B7" s="25" t="s">
        <v>349</v>
      </c>
      <c r="C7" s="254"/>
      <c r="D7" s="26">
        <v>1360</v>
      </c>
      <c r="E7" s="27">
        <f t="shared" si="0"/>
        <v>1060.8</v>
      </c>
      <c r="F7" s="28">
        <f t="shared" si="1"/>
        <v>657.69600000000003</v>
      </c>
      <c r="G7" s="28">
        <f t="shared" si="2"/>
        <v>65.769599999999997</v>
      </c>
      <c r="H7" s="29"/>
      <c r="I7" s="30"/>
      <c r="J7" s="30"/>
      <c r="K7" s="30"/>
      <c r="L7" s="31" t="s">
        <v>347</v>
      </c>
      <c r="M7" s="30"/>
      <c r="N7" s="30"/>
      <c r="O7" s="32"/>
      <c r="P7" s="32"/>
      <c r="Q7" s="32"/>
      <c r="R7" s="32"/>
      <c r="S7" s="33"/>
      <c r="T7" s="33"/>
      <c r="U7" s="34"/>
      <c r="V7" s="34"/>
      <c r="W7" s="34"/>
      <c r="X7" s="34"/>
      <c r="Y7" s="34"/>
      <c r="Z7" s="34"/>
      <c r="AA7" s="34"/>
      <c r="AB7" s="34"/>
      <c r="AC7" s="34"/>
      <c r="AD7" s="35"/>
    </row>
    <row r="8" spans="1:30">
      <c r="A8" s="246"/>
      <c r="B8" s="36" t="s">
        <v>350</v>
      </c>
      <c r="C8" s="255" t="s">
        <v>351</v>
      </c>
      <c r="D8" s="37">
        <v>1158</v>
      </c>
      <c r="E8" s="38">
        <f t="shared" si="0"/>
        <v>903.24</v>
      </c>
      <c r="F8" s="39">
        <f t="shared" si="1"/>
        <v>560.00879999999995</v>
      </c>
      <c r="G8" s="39">
        <f t="shared" si="2"/>
        <v>56.000880000000002</v>
      </c>
      <c r="H8" s="7"/>
      <c r="I8" s="8"/>
      <c r="J8" s="8"/>
      <c r="K8" s="8"/>
      <c r="L8" s="8"/>
      <c r="M8" s="8"/>
      <c r="N8" s="8"/>
      <c r="O8" s="10"/>
      <c r="P8" s="10"/>
      <c r="Q8" s="10"/>
      <c r="R8" s="10"/>
      <c r="S8" s="11"/>
      <c r="T8" s="11"/>
      <c r="U8" s="12"/>
      <c r="V8" s="12"/>
      <c r="W8" s="12"/>
      <c r="X8" s="12"/>
      <c r="Y8" s="12"/>
      <c r="Z8" s="12"/>
      <c r="AA8" s="12"/>
      <c r="AB8" s="12"/>
      <c r="AC8" s="12"/>
      <c r="AD8" s="13"/>
    </row>
    <row r="9" spans="1:30">
      <c r="A9" s="246"/>
      <c r="B9" s="40" t="s">
        <v>352</v>
      </c>
      <c r="C9" s="256"/>
      <c r="D9" s="41">
        <v>1362</v>
      </c>
      <c r="E9" s="42">
        <f t="shared" si="0"/>
        <v>1062.3599999999999</v>
      </c>
      <c r="F9" s="43">
        <f t="shared" si="1"/>
        <v>658.66319999999996</v>
      </c>
      <c r="G9" s="43">
        <f t="shared" si="2"/>
        <v>65.866320000000002</v>
      </c>
      <c r="H9" s="18"/>
      <c r="I9" s="19"/>
      <c r="J9" s="19"/>
      <c r="K9" s="19"/>
      <c r="L9" s="19"/>
      <c r="M9" s="19"/>
      <c r="N9" s="19"/>
      <c r="O9" s="21"/>
      <c r="P9" s="21"/>
      <c r="Q9" s="21"/>
      <c r="R9" s="21"/>
      <c r="S9" s="22"/>
      <c r="T9" s="22"/>
      <c r="U9" s="23"/>
      <c r="V9" s="23"/>
      <c r="W9" s="23"/>
      <c r="X9" s="23"/>
      <c r="Y9" s="23"/>
      <c r="Z9" s="23"/>
      <c r="AA9" s="23"/>
      <c r="AB9" s="23"/>
      <c r="AC9" s="23"/>
      <c r="AD9" s="24"/>
    </row>
    <row r="10" spans="1:30">
      <c r="A10" s="246"/>
      <c r="B10" s="44" t="s">
        <v>353</v>
      </c>
      <c r="C10" s="257"/>
      <c r="D10" s="45">
        <v>1058</v>
      </c>
      <c r="E10" s="46">
        <f t="shared" si="0"/>
        <v>825.24</v>
      </c>
      <c r="F10" s="47">
        <f t="shared" si="1"/>
        <v>511.64879999999999</v>
      </c>
      <c r="G10" s="47">
        <f t="shared" si="2"/>
        <v>51.164879999999997</v>
      </c>
      <c r="H10" s="29"/>
      <c r="I10" s="30"/>
      <c r="J10" s="30"/>
      <c r="K10" s="30"/>
      <c r="L10" s="30"/>
      <c r="M10" s="30"/>
      <c r="N10" s="30"/>
      <c r="O10" s="32"/>
      <c r="P10" s="32"/>
      <c r="Q10" s="32"/>
      <c r="R10" s="32"/>
      <c r="S10" s="33"/>
      <c r="T10" s="33"/>
      <c r="U10" s="34"/>
      <c r="V10" s="34"/>
      <c r="W10" s="34"/>
      <c r="X10" s="34"/>
      <c r="Y10" s="34"/>
      <c r="Z10" s="34"/>
      <c r="AA10" s="34"/>
      <c r="AB10" s="34"/>
      <c r="AC10" s="34"/>
      <c r="AD10" s="35"/>
    </row>
    <row r="11" spans="1:30">
      <c r="A11" s="246"/>
      <c r="B11" s="48" t="s">
        <v>354</v>
      </c>
      <c r="C11" s="258" t="s">
        <v>355</v>
      </c>
      <c r="D11" s="49">
        <v>489</v>
      </c>
      <c r="E11" s="50">
        <f t="shared" si="0"/>
        <v>381.42</v>
      </c>
      <c r="F11" s="51">
        <f t="shared" si="1"/>
        <v>236.4804</v>
      </c>
      <c r="G11" s="51">
        <f t="shared" si="2"/>
        <v>23.648040000000002</v>
      </c>
      <c r="H11" s="7"/>
      <c r="I11" s="8"/>
      <c r="J11" s="8"/>
      <c r="K11" s="8"/>
      <c r="L11" s="8"/>
      <c r="M11" s="8"/>
      <c r="N11" s="8"/>
      <c r="O11" s="10"/>
      <c r="P11" s="10"/>
      <c r="Q11" s="10"/>
      <c r="R11" s="10"/>
      <c r="S11" s="11"/>
      <c r="T11" s="11"/>
      <c r="U11" s="12"/>
      <c r="V11" s="12"/>
      <c r="W11" s="12"/>
      <c r="X11" s="12"/>
      <c r="Y11" s="12"/>
      <c r="Z11" s="12"/>
      <c r="AA11" s="12"/>
      <c r="AB11" s="12"/>
      <c r="AC11" s="12"/>
      <c r="AD11" s="13"/>
    </row>
    <row r="12" spans="1:30">
      <c r="A12" s="246"/>
      <c r="B12" s="52" t="s">
        <v>356</v>
      </c>
      <c r="C12" s="259"/>
      <c r="D12" s="53">
        <v>929</v>
      </c>
      <c r="E12" s="54">
        <f t="shared" si="0"/>
        <v>724.62</v>
      </c>
      <c r="F12" s="55">
        <f t="shared" si="1"/>
        <v>449.26440000000002</v>
      </c>
      <c r="G12" s="55">
        <f t="shared" si="2"/>
        <v>44.926439999999999</v>
      </c>
      <c r="H12" s="18"/>
      <c r="I12" s="19"/>
      <c r="J12" s="19"/>
      <c r="K12" s="19"/>
      <c r="L12" s="19"/>
      <c r="M12" s="19"/>
      <c r="N12" s="19"/>
      <c r="O12" s="21"/>
      <c r="P12" s="21"/>
      <c r="Q12" s="21"/>
      <c r="R12" s="21"/>
      <c r="S12" s="22"/>
      <c r="T12" s="22"/>
      <c r="U12" s="23"/>
      <c r="V12" s="23"/>
      <c r="W12" s="23"/>
      <c r="X12" s="23"/>
      <c r="Y12" s="23"/>
      <c r="Z12" s="23"/>
      <c r="AA12" s="23"/>
      <c r="AB12" s="23"/>
      <c r="AC12" s="23"/>
      <c r="AD12" s="24"/>
    </row>
    <row r="13" spans="1:30">
      <c r="A13" s="246"/>
      <c r="B13" s="56" t="s">
        <v>357</v>
      </c>
      <c r="C13" s="260"/>
      <c r="D13" s="57">
        <v>1059</v>
      </c>
      <c r="E13" s="58">
        <f t="shared" si="0"/>
        <v>826.02</v>
      </c>
      <c r="F13" s="59">
        <f t="shared" si="1"/>
        <v>512.13239999999996</v>
      </c>
      <c r="G13" s="59">
        <f t="shared" si="2"/>
        <v>51.213239999999999</v>
      </c>
      <c r="H13" s="29"/>
      <c r="I13" s="30"/>
      <c r="J13" s="30"/>
      <c r="K13" s="30"/>
      <c r="L13" s="30"/>
      <c r="M13" s="30"/>
      <c r="N13" s="30"/>
      <c r="O13" s="32"/>
      <c r="P13" s="32"/>
      <c r="Q13" s="32"/>
      <c r="R13" s="32"/>
      <c r="S13" s="33"/>
      <c r="T13" s="33"/>
      <c r="U13" s="34"/>
      <c r="V13" s="34"/>
      <c r="W13" s="34"/>
      <c r="X13" s="34"/>
      <c r="Y13" s="34"/>
      <c r="Z13" s="34"/>
      <c r="AA13" s="34"/>
      <c r="AB13" s="34"/>
      <c r="AC13" s="34"/>
      <c r="AD13" s="35"/>
    </row>
    <row r="14" spans="1:30">
      <c r="A14" s="246"/>
      <c r="B14" s="60" t="s">
        <v>358</v>
      </c>
      <c r="C14" s="261" t="s">
        <v>359</v>
      </c>
      <c r="D14" s="61">
        <v>490</v>
      </c>
      <c r="E14" s="62">
        <f t="shared" si="0"/>
        <v>382.2</v>
      </c>
      <c r="F14" s="63">
        <f t="shared" si="1"/>
        <v>236.964</v>
      </c>
      <c r="G14" s="63">
        <f t="shared" si="2"/>
        <v>23.696400000000001</v>
      </c>
      <c r="H14" s="7"/>
      <c r="I14" s="8"/>
      <c r="J14" s="8"/>
      <c r="K14" s="8"/>
      <c r="L14" s="8"/>
      <c r="M14" s="8"/>
      <c r="N14" s="8"/>
      <c r="O14" s="10"/>
      <c r="P14" s="10"/>
      <c r="Q14" s="10"/>
      <c r="R14" s="10"/>
      <c r="S14" s="11"/>
      <c r="T14" s="11"/>
      <c r="U14" s="12"/>
      <c r="V14" s="12"/>
      <c r="W14" s="12"/>
      <c r="X14" s="12"/>
      <c r="Y14" s="12"/>
      <c r="Z14" s="12"/>
      <c r="AA14" s="12"/>
      <c r="AB14" s="12"/>
      <c r="AC14" s="12"/>
      <c r="AD14" s="13"/>
    </row>
    <row r="15" spans="1:30">
      <c r="A15" s="246"/>
      <c r="B15" s="64" t="s">
        <v>360</v>
      </c>
      <c r="C15" s="262"/>
      <c r="D15" s="65">
        <v>1198</v>
      </c>
      <c r="E15" s="66">
        <f t="shared" si="0"/>
        <v>934.44</v>
      </c>
      <c r="F15" s="67">
        <f t="shared" si="1"/>
        <v>579.3528</v>
      </c>
      <c r="G15" s="67">
        <f t="shared" si="2"/>
        <v>57.935279999999999</v>
      </c>
      <c r="H15" s="18"/>
      <c r="I15" s="19"/>
      <c r="J15" s="19"/>
      <c r="K15" s="19"/>
      <c r="L15" s="19"/>
      <c r="M15" s="19"/>
      <c r="N15" s="19"/>
      <c r="O15" s="21"/>
      <c r="P15" s="21"/>
      <c r="Q15" s="21"/>
      <c r="R15" s="21"/>
      <c r="S15" s="22"/>
      <c r="T15" s="22"/>
      <c r="U15" s="23"/>
      <c r="V15" s="23"/>
      <c r="W15" s="23"/>
      <c r="X15" s="23"/>
      <c r="Y15" s="23"/>
      <c r="Z15" s="23"/>
      <c r="AA15" s="23"/>
      <c r="AB15" s="23"/>
      <c r="AC15" s="23"/>
      <c r="AD15" s="24"/>
    </row>
    <row r="16" spans="1:30">
      <c r="A16" s="246"/>
      <c r="B16" s="68" t="s">
        <v>361</v>
      </c>
      <c r="C16" s="263"/>
      <c r="D16" s="69">
        <v>872</v>
      </c>
      <c r="E16" s="70">
        <f t="shared" si="0"/>
        <v>680.16</v>
      </c>
      <c r="F16" s="71">
        <f t="shared" si="1"/>
        <v>421.69920000000002</v>
      </c>
      <c r="G16" s="71">
        <f t="shared" si="2"/>
        <v>42.169919999999998</v>
      </c>
      <c r="H16" s="29"/>
      <c r="I16" s="30"/>
      <c r="J16" s="30"/>
      <c r="K16" s="30"/>
      <c r="L16" s="30"/>
      <c r="M16" s="30"/>
      <c r="N16" s="30"/>
      <c r="O16" s="32"/>
      <c r="P16" s="32"/>
      <c r="Q16" s="32"/>
      <c r="R16" s="32"/>
      <c r="S16" s="33"/>
      <c r="T16" s="33"/>
      <c r="U16" s="34"/>
      <c r="V16" s="34"/>
      <c r="W16" s="34"/>
      <c r="X16" s="34"/>
      <c r="Y16" s="34"/>
      <c r="Z16" s="34"/>
      <c r="AA16" s="34"/>
      <c r="AB16" s="34"/>
      <c r="AC16" s="34"/>
      <c r="AD16" s="35"/>
    </row>
    <row r="17" spans="1:30">
      <c r="A17" s="246"/>
      <c r="B17" s="72" t="s">
        <v>362</v>
      </c>
      <c r="C17" s="264" t="s">
        <v>363</v>
      </c>
      <c r="D17" s="73">
        <v>952</v>
      </c>
      <c r="E17" s="74">
        <f t="shared" si="0"/>
        <v>742.56</v>
      </c>
      <c r="F17" s="75">
        <f t="shared" si="1"/>
        <v>460.38720000000001</v>
      </c>
      <c r="G17" s="75">
        <f t="shared" si="2"/>
        <v>46.038719999999998</v>
      </c>
      <c r="H17" s="7"/>
      <c r="I17" s="8"/>
      <c r="J17" s="8"/>
      <c r="K17" s="8"/>
      <c r="L17" s="8"/>
      <c r="M17" s="8"/>
      <c r="N17" s="8"/>
      <c r="O17" s="10"/>
      <c r="P17" s="10"/>
      <c r="Q17" s="10"/>
      <c r="R17" s="10"/>
      <c r="S17" s="11"/>
      <c r="T17" s="11"/>
      <c r="U17" s="12"/>
      <c r="V17" s="12"/>
      <c r="W17" s="12"/>
      <c r="X17" s="12"/>
      <c r="Y17" s="12"/>
      <c r="Z17" s="12"/>
      <c r="AA17" s="12"/>
      <c r="AB17" s="12"/>
      <c r="AC17" s="12"/>
      <c r="AD17" s="13"/>
    </row>
    <row r="18" spans="1:30">
      <c r="A18" s="246"/>
      <c r="B18" s="76" t="s">
        <v>364</v>
      </c>
      <c r="C18" s="265"/>
      <c r="D18" s="77">
        <v>357</v>
      </c>
      <c r="E18" s="78">
        <f t="shared" si="0"/>
        <v>278.45999999999998</v>
      </c>
      <c r="F18" s="79">
        <f t="shared" si="1"/>
        <v>172.64519999999999</v>
      </c>
      <c r="G18" s="79">
        <f t="shared" si="2"/>
        <v>17.264520000000001</v>
      </c>
      <c r="H18" s="18"/>
      <c r="I18" s="19"/>
      <c r="J18" s="19"/>
      <c r="K18" s="19"/>
      <c r="L18" s="19"/>
      <c r="M18" s="19"/>
      <c r="N18" s="19"/>
      <c r="O18" s="21"/>
      <c r="P18" s="21"/>
      <c r="Q18" s="21"/>
      <c r="R18" s="21"/>
      <c r="S18" s="22"/>
      <c r="T18" s="22"/>
      <c r="U18" s="23"/>
      <c r="V18" s="23"/>
      <c r="W18" s="23"/>
      <c r="X18" s="23"/>
      <c r="Y18" s="23"/>
      <c r="Z18" s="23"/>
      <c r="AA18" s="23"/>
      <c r="AB18" s="23"/>
      <c r="AC18" s="23"/>
      <c r="AD18" s="24"/>
    </row>
    <row r="19" spans="1:30">
      <c r="A19" s="247"/>
      <c r="B19" s="80" t="s">
        <v>365</v>
      </c>
      <c r="C19" s="266"/>
      <c r="D19" s="81">
        <v>249</v>
      </c>
      <c r="E19" s="82">
        <f t="shared" si="0"/>
        <v>194.22</v>
      </c>
      <c r="F19" s="83">
        <f t="shared" si="1"/>
        <v>120.4164</v>
      </c>
      <c r="G19" s="83">
        <f t="shared" si="2"/>
        <v>12.041639999999999</v>
      </c>
      <c r="H19" s="29"/>
      <c r="I19" s="30"/>
      <c r="J19" s="30"/>
      <c r="K19" s="30"/>
      <c r="L19" s="30"/>
      <c r="M19" s="30"/>
      <c r="N19" s="30"/>
      <c r="O19" s="32"/>
      <c r="P19" s="32"/>
      <c r="Q19" s="32"/>
      <c r="R19" s="32"/>
      <c r="S19" s="33"/>
      <c r="T19" s="33"/>
      <c r="U19" s="34"/>
      <c r="V19" s="34"/>
      <c r="W19" s="34"/>
      <c r="X19" s="34"/>
      <c r="Y19" s="34"/>
      <c r="Z19" s="34"/>
      <c r="AA19" s="34"/>
      <c r="AB19" s="34"/>
      <c r="AC19" s="34"/>
      <c r="AD19" s="35"/>
    </row>
    <row r="20" spans="1:30" ht="28.5" customHeight="1">
      <c r="A20" s="240" t="s">
        <v>27</v>
      </c>
      <c r="B20" s="241"/>
      <c r="C20" s="242"/>
      <c r="D20" s="84">
        <f>SUM(D5:D19)</f>
        <v>16709</v>
      </c>
      <c r="E20" s="85">
        <f>SUM(E5:E19)</f>
        <v>13033.02</v>
      </c>
      <c r="F20" s="86">
        <f>SUM(F5:F19)</f>
        <v>8080.4723999999997</v>
      </c>
      <c r="G20" s="87">
        <f>SUM(G5:G19)</f>
        <v>808.04723999999999</v>
      </c>
      <c r="H20" s="88"/>
      <c r="I20" s="89"/>
      <c r="J20" s="89"/>
      <c r="K20" s="89"/>
      <c r="L20" s="89"/>
      <c r="M20" s="89"/>
      <c r="N20" s="89"/>
      <c r="O20" s="90"/>
      <c r="P20" s="90"/>
      <c r="Q20" s="90"/>
      <c r="R20" s="90"/>
      <c r="S20" s="90"/>
      <c r="T20" s="90"/>
      <c r="U20" s="91"/>
      <c r="V20" s="91"/>
      <c r="W20" s="91"/>
      <c r="X20" s="91"/>
      <c r="Y20" s="91"/>
      <c r="Z20" s="91"/>
      <c r="AA20" s="91"/>
      <c r="AB20" s="91"/>
      <c r="AC20" s="91"/>
      <c r="AD20" s="92"/>
    </row>
  </sheetData>
  <mergeCells count="38">
    <mergeCell ref="AC3:AC4"/>
    <mergeCell ref="AD3:AD4"/>
    <mergeCell ref="X3:X4"/>
    <mergeCell ref="Y3:Y4"/>
    <mergeCell ref="Z3:Z4"/>
    <mergeCell ref="AA3:AA4"/>
    <mergeCell ref="AB3:AB4"/>
    <mergeCell ref="S3:S4"/>
    <mergeCell ref="T3:T4"/>
    <mergeCell ref="U3:U4"/>
    <mergeCell ref="V3:V4"/>
    <mergeCell ref="W3:W4"/>
    <mergeCell ref="N3:N4"/>
    <mergeCell ref="O3:O4"/>
    <mergeCell ref="P3:P4"/>
    <mergeCell ref="Q3:Q4"/>
    <mergeCell ref="R3:R4"/>
    <mergeCell ref="I3:I4"/>
    <mergeCell ref="J3:J4"/>
    <mergeCell ref="K3:K4"/>
    <mergeCell ref="L3:L4"/>
    <mergeCell ref="M3:M4"/>
    <mergeCell ref="H2:AD2"/>
    <mergeCell ref="A20:C20"/>
    <mergeCell ref="A3:A4"/>
    <mergeCell ref="A5:A19"/>
    <mergeCell ref="B3:B4"/>
    <mergeCell ref="C3:C4"/>
    <mergeCell ref="C5:C7"/>
    <mergeCell ref="C8:C10"/>
    <mergeCell ref="C11:C13"/>
    <mergeCell ref="C14:C16"/>
    <mergeCell ref="C17:C19"/>
    <mergeCell ref="D3:D4"/>
    <mergeCell ref="E3:E4"/>
    <mergeCell ref="F3:F4"/>
    <mergeCell ref="G3:G4"/>
    <mergeCell ref="H3:H4"/>
  </mergeCells>
  <pageMargins left="0.7" right="0.7" top="0.75" bottom="0.75" header="0.3" footer="0.3"/>
  <pageSetup scale="6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DASHBOARD TUARAN</vt:lpstr>
      <vt:lpstr>PRU</vt:lpstr>
      <vt:lpstr>PRN</vt:lpstr>
      <vt:lpstr>KPI JINIK</vt:lpstr>
      <vt:lpstr>KPI AMANDUS</vt:lpstr>
      <vt:lpstr>KPI LOMITI</vt:lpstr>
      <vt:lpstr>KPI JAINYSIUS</vt:lpstr>
      <vt:lpstr>KPI RAYNER</vt:lpstr>
      <vt:lpstr>TIKTORKER</vt:lpstr>
      <vt:lpstr>JADUAL</vt:lpstr>
      <vt:lpstr>'DASHBOARD TUARAN'!Print_Area</vt:lpstr>
      <vt:lpstr>JADUAL!Print_Area</vt:lpstr>
      <vt:lpstr>'KPI LOMITI'!Print_Area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kanildayou@outlook.com</dc:creator>
  <cp:lastModifiedBy>kanildayou088@outlook.com</cp:lastModifiedBy>
  <cp:lastPrinted>2024-12-09T05:44:00Z</cp:lastPrinted>
  <dcterms:created xsi:type="dcterms:W3CDTF">2024-07-31T05:22:00Z</dcterms:created>
  <dcterms:modified xsi:type="dcterms:W3CDTF">2026-07-08T10:11:06Z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27720B5E25A9493C940643D53D304D73_12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